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46093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46093</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46093</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46093</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46093</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46093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46093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46093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46093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46093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46093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46093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46093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46093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46093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46093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7791-2024</t>
        </is>
      </c>
      <c r="B18" s="1" t="n">
        <v>45348</v>
      </c>
      <c r="C18" s="1" t="n">
        <v>46093</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14815-2025</t>
        </is>
      </c>
      <c r="B19" s="1" t="n">
        <v>45743.34931712963</v>
      </c>
      <c r="C19" s="1" t="n">
        <v>46093</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38172-2024</t>
        </is>
      </c>
      <c r="B20" s="1" t="n">
        <v>45545</v>
      </c>
      <c r="C20" s="1" t="n">
        <v>46093</v>
      </c>
      <c r="D20" t="inlineStr">
        <is>
          <t>VÄSTMANLANDS LÄN</t>
        </is>
      </c>
      <c r="E20" t="inlineStr">
        <is>
          <t>SURAHAMMAR</t>
        </is>
      </c>
      <c r="F20" t="inlineStr">
        <is>
          <t>Sveaskog</t>
        </is>
      </c>
      <c r="G20" t="n">
        <v>5.2</v>
      </c>
      <c r="H20" t="n">
        <v>3</v>
      </c>
      <c r="I20" t="n">
        <v>0</v>
      </c>
      <c r="J20" t="n">
        <v>2</v>
      </c>
      <c r="K20" t="n">
        <v>1</v>
      </c>
      <c r="L20" t="n">
        <v>0</v>
      </c>
      <c r="M20" t="n">
        <v>0</v>
      </c>
      <c r="N20" t="n">
        <v>0</v>
      </c>
      <c r="O20" t="n">
        <v>3</v>
      </c>
      <c r="P20" t="n">
        <v>1</v>
      </c>
      <c r="Q20" t="n">
        <v>5</v>
      </c>
      <c r="R20" s="2" t="inlineStr">
        <is>
          <t>Knärot
Gropticka
Vedtrappmossa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39594-2025</t>
        </is>
      </c>
      <c r="B21" s="1" t="n">
        <v>45890</v>
      </c>
      <c r="C21" s="1" t="n">
        <v>46093</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46093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46093</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46093</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10236-2026</t>
        </is>
      </c>
      <c r="B25" s="1" t="n">
        <v>46076.54277777778</v>
      </c>
      <c r="C25" s="1" t="n">
        <v>46093</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21716-2025</t>
        </is>
      </c>
      <c r="B26" s="1" t="n">
        <v>45783.54804398148</v>
      </c>
      <c r="C26" s="1" t="n">
        <v>46093</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46093</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65024-2023</t>
        </is>
      </c>
      <c r="B28" s="1" t="n">
        <v>45282</v>
      </c>
      <c r="C28" s="1" t="n">
        <v>46093</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42860-2022</t>
        </is>
      </c>
      <c r="B29" s="1" t="n">
        <v>44832</v>
      </c>
      <c r="C29" s="1" t="n">
        <v>46093</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46093</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46093</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46093</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4082-2025</t>
        </is>
      </c>
      <c r="B33" s="1" t="n">
        <v>45684</v>
      </c>
      <c r="C33" s="1" t="n">
        <v>46093</v>
      </c>
      <c r="D33" t="inlineStr">
        <is>
          <t>VÄSTMANLANDS LÄN</t>
        </is>
      </c>
      <c r="E33" t="inlineStr">
        <is>
          <t>SURAHAMMAR</t>
        </is>
      </c>
      <c r="F33" t="inlineStr">
        <is>
          <t>Bergvik skog väst AB</t>
        </is>
      </c>
      <c r="G33" t="n">
        <v>11.6</v>
      </c>
      <c r="H33" t="n">
        <v>2</v>
      </c>
      <c r="I33" t="n">
        <v>2</v>
      </c>
      <c r="J33" t="n">
        <v>0</v>
      </c>
      <c r="K33" t="n">
        <v>0</v>
      </c>
      <c r="L33" t="n">
        <v>0</v>
      </c>
      <c r="M33" t="n">
        <v>0</v>
      </c>
      <c r="N33" t="n">
        <v>0</v>
      </c>
      <c r="O33" t="n">
        <v>0</v>
      </c>
      <c r="P33" t="n">
        <v>0</v>
      </c>
      <c r="Q33" t="n">
        <v>3</v>
      </c>
      <c r="R33" s="2" t="inlineStr">
        <is>
          <t>Grönpyrola
Plattlummer
Lopplummer (aggregat)</t>
        </is>
      </c>
      <c r="S33">
        <f>HYPERLINK("https://klasma.github.io/Logging_1907/artfynd/A 4082-2025 artfynd.xlsx", "A 4082-2025")</f>
        <v/>
      </c>
      <c r="T33">
        <f>HYPERLINK("https://klasma.github.io/Logging_1907/kartor/A 4082-2025 karta.png", "A 4082-2025")</f>
        <v/>
      </c>
      <c r="V33">
        <f>HYPERLINK("https://klasma.github.io/Logging_1907/klagomål/A 4082-2025 FSC-klagomål.docx", "A 4082-2025")</f>
        <v/>
      </c>
      <c r="W33">
        <f>HYPERLINK("https://klasma.github.io/Logging_1907/klagomålsmail/A 4082-2025 FSC-klagomål mail.docx", "A 4082-2025")</f>
        <v/>
      </c>
      <c r="X33">
        <f>HYPERLINK("https://klasma.github.io/Logging_1907/tillsyn/A 4082-2025 tillsynsbegäran.docx", "A 4082-2025")</f>
        <v/>
      </c>
      <c r="Y33">
        <f>HYPERLINK("https://klasma.github.io/Logging_1907/tillsynsmail/A 4082-2025 tillsynsbegäran mail.docx", "A 4082-2025")</f>
        <v/>
      </c>
    </row>
    <row r="34" ht="15" customHeight="1">
      <c r="A34" t="inlineStr">
        <is>
          <t>A 49718-2023</t>
        </is>
      </c>
      <c r="B34" s="1" t="n">
        <v>45212</v>
      </c>
      <c r="C34" s="1" t="n">
        <v>46093</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42708-2022</t>
        </is>
      </c>
      <c r="B35" s="1" t="n">
        <v>44832</v>
      </c>
      <c r="C35" s="1" t="n">
        <v>46093</v>
      </c>
      <c r="D35" t="inlineStr">
        <is>
          <t>VÄSTMANLANDS LÄN</t>
        </is>
      </c>
      <c r="E35" t="inlineStr">
        <is>
          <t>SURAHAMMAR</t>
        </is>
      </c>
      <c r="G35" t="n">
        <v>27.2</v>
      </c>
      <c r="H35" t="n">
        <v>3</v>
      </c>
      <c r="I35" t="n">
        <v>0</v>
      </c>
      <c r="J35" t="n">
        <v>2</v>
      </c>
      <c r="K35" t="n">
        <v>0</v>
      </c>
      <c r="L35" t="n">
        <v>0</v>
      </c>
      <c r="M35" t="n">
        <v>0</v>
      </c>
      <c r="N35" t="n">
        <v>0</v>
      </c>
      <c r="O35" t="n">
        <v>2</v>
      </c>
      <c r="P35" t="n">
        <v>0</v>
      </c>
      <c r="Q35" t="n">
        <v>3</v>
      </c>
      <c r="R35" s="2" t="inlineStr">
        <is>
          <t>Entita
Spillkråka
Blåsippa</t>
        </is>
      </c>
      <c r="S35">
        <f>HYPERLINK("https://klasma.github.io/Logging_1907/artfynd/A 42708-2022 artfynd.xlsx", "A 42708-2022")</f>
        <v/>
      </c>
      <c r="T35">
        <f>HYPERLINK("https://klasma.github.io/Logging_1907/kartor/A 42708-2022 karta.png", "A 42708-2022")</f>
        <v/>
      </c>
      <c r="V35">
        <f>HYPERLINK("https://klasma.github.io/Logging_1907/klagomål/A 42708-2022 FSC-klagomål.docx", "A 42708-2022")</f>
        <v/>
      </c>
      <c r="W35">
        <f>HYPERLINK("https://klasma.github.io/Logging_1907/klagomålsmail/A 42708-2022 FSC-klagomål mail.docx", "A 42708-2022")</f>
        <v/>
      </c>
      <c r="X35">
        <f>HYPERLINK("https://klasma.github.io/Logging_1907/tillsyn/A 42708-2022 tillsynsbegäran.docx", "A 42708-2022")</f>
        <v/>
      </c>
      <c r="Y35">
        <f>HYPERLINK("https://klasma.github.io/Logging_1907/tillsynsmail/A 42708-2022 tillsynsbegäran mail.docx", "A 42708-2022")</f>
        <v/>
      </c>
      <c r="Z35">
        <f>HYPERLINK("https://klasma.github.io/Logging_1907/fåglar/A 42708-2022 prioriterade fågelarter.docx", "A 42708-2022")</f>
        <v/>
      </c>
    </row>
    <row r="36" ht="15" customHeight="1">
      <c r="A36" t="inlineStr">
        <is>
          <t>A 48128-2023</t>
        </is>
      </c>
      <c r="B36" s="1" t="n">
        <v>45205</v>
      </c>
      <c r="C36" s="1" t="n">
        <v>46093</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46093</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42853-2022</t>
        </is>
      </c>
      <c r="B38" s="1" t="n">
        <v>44832</v>
      </c>
      <c r="C38" s="1" t="n">
        <v>46093</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29707-2025</t>
        </is>
      </c>
      <c r="B39" s="1" t="n">
        <v>45825.56100694444</v>
      </c>
      <c r="C39" s="1" t="n">
        <v>46093</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46093</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46093</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40403-2025</t>
        </is>
      </c>
      <c r="B42" s="1" t="n">
        <v>45895</v>
      </c>
      <c r="C42" s="1" t="n">
        <v>46093</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41576-2022</t>
        </is>
      </c>
      <c r="B43" s="1" t="n">
        <v>44826</v>
      </c>
      <c r="C43" s="1" t="n">
        <v>46093</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62097-2024</t>
        </is>
      </c>
      <c r="B44" s="1" t="n">
        <v>45646</v>
      </c>
      <c r="C44" s="1" t="n">
        <v>46093</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41204-2023</t>
        </is>
      </c>
      <c r="B45" s="1" t="n">
        <v>45174</v>
      </c>
      <c r="C45" s="1" t="n">
        <v>46093</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37800-2021</t>
        </is>
      </c>
      <c r="B46" s="1" t="n">
        <v>44402</v>
      </c>
      <c r="C46" s="1" t="n">
        <v>46093</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63146-2025</t>
        </is>
      </c>
      <c r="B47" s="1" t="n">
        <v>46009</v>
      </c>
      <c r="C47" s="1" t="n">
        <v>46093</v>
      </c>
      <c r="D47" t="inlineStr">
        <is>
          <t>VÄSTMANLANDS LÄN</t>
        </is>
      </c>
      <c r="E47" t="inlineStr">
        <is>
          <t>SURAHAMMAR</t>
        </is>
      </c>
      <c r="F47" t="inlineStr">
        <is>
          <t>Bergvik skog väst AB</t>
        </is>
      </c>
      <c r="G47" t="n">
        <v>10.2</v>
      </c>
      <c r="H47" t="n">
        <v>1</v>
      </c>
      <c r="I47" t="n">
        <v>1</v>
      </c>
      <c r="J47" t="n">
        <v>0</v>
      </c>
      <c r="K47" t="n">
        <v>0</v>
      </c>
      <c r="L47" t="n">
        <v>0</v>
      </c>
      <c r="M47" t="n">
        <v>0</v>
      </c>
      <c r="N47" t="n">
        <v>0</v>
      </c>
      <c r="O47" t="n">
        <v>0</v>
      </c>
      <c r="P47" t="n">
        <v>0</v>
      </c>
      <c r="Q47" t="n">
        <v>2</v>
      </c>
      <c r="R47" s="2" t="inlineStr">
        <is>
          <t>Svart trolldruva
Blåsippa</t>
        </is>
      </c>
      <c r="S47">
        <f>HYPERLINK("https://klasma.github.io/Logging_1907/artfynd/A 63146-2025 artfynd.xlsx", "A 63146-2025")</f>
        <v/>
      </c>
      <c r="T47">
        <f>HYPERLINK("https://klasma.github.io/Logging_1907/kartor/A 63146-2025 karta.png", "A 63146-2025")</f>
        <v/>
      </c>
      <c r="V47">
        <f>HYPERLINK("https://klasma.github.io/Logging_1907/klagomål/A 63146-2025 FSC-klagomål.docx", "A 63146-2025")</f>
        <v/>
      </c>
      <c r="W47">
        <f>HYPERLINK("https://klasma.github.io/Logging_1907/klagomålsmail/A 63146-2025 FSC-klagomål mail.docx", "A 63146-2025")</f>
        <v/>
      </c>
      <c r="X47">
        <f>HYPERLINK("https://klasma.github.io/Logging_1907/tillsyn/A 63146-2025 tillsynsbegäran.docx", "A 63146-2025")</f>
        <v/>
      </c>
      <c r="Y47">
        <f>HYPERLINK("https://klasma.github.io/Logging_1907/tillsynsmail/A 63146-2025 tillsynsbegäran mail.docx", "A 63146-2025")</f>
        <v/>
      </c>
    </row>
    <row r="48" ht="15" customHeight="1">
      <c r="A48" t="inlineStr">
        <is>
          <t>A 21618-2025</t>
        </is>
      </c>
      <c r="B48" s="1" t="n">
        <v>45783</v>
      </c>
      <c r="C48" s="1" t="n">
        <v>46093</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46093</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46093</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46093</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25583-2024</t>
        </is>
      </c>
      <c r="B52" s="1" t="n">
        <v>45463</v>
      </c>
      <c r="C52" s="1" t="n">
        <v>46093</v>
      </c>
      <c r="D52" t="inlineStr">
        <is>
          <t>VÄSTMANLANDS LÄN</t>
        </is>
      </c>
      <c r="E52" t="inlineStr">
        <is>
          <t>SURAHAMMAR</t>
        </is>
      </c>
      <c r="F52" t="inlineStr">
        <is>
          <t>Bergvik skog väst AB</t>
        </is>
      </c>
      <c r="G52" t="n">
        <v>7.8</v>
      </c>
      <c r="H52" t="n">
        <v>1</v>
      </c>
      <c r="I52" t="n">
        <v>0</v>
      </c>
      <c r="J52" t="n">
        <v>0</v>
      </c>
      <c r="K52" t="n">
        <v>0</v>
      </c>
      <c r="L52" t="n">
        <v>0</v>
      </c>
      <c r="M52" t="n">
        <v>0</v>
      </c>
      <c r="N52" t="n">
        <v>0</v>
      </c>
      <c r="O52" t="n">
        <v>0</v>
      </c>
      <c r="P52" t="n">
        <v>0</v>
      </c>
      <c r="Q52" t="n">
        <v>1</v>
      </c>
      <c r="R52" s="2" t="inlineStr">
        <is>
          <t>Blåsippa</t>
        </is>
      </c>
      <c r="S52">
        <f>HYPERLINK("https://klasma.github.io/Logging_1907/artfynd/A 25583-2024 artfynd.xlsx", "A 25583-2024")</f>
        <v/>
      </c>
      <c r="T52">
        <f>HYPERLINK("https://klasma.github.io/Logging_1907/kartor/A 25583-2024 karta.png", "A 25583-2024")</f>
        <v/>
      </c>
      <c r="V52">
        <f>HYPERLINK("https://klasma.github.io/Logging_1907/klagomål/A 25583-2024 FSC-klagomål.docx", "A 25583-2024")</f>
        <v/>
      </c>
      <c r="W52">
        <f>HYPERLINK("https://klasma.github.io/Logging_1907/klagomålsmail/A 25583-2024 FSC-klagomål mail.docx", "A 25583-2024")</f>
        <v/>
      </c>
      <c r="X52">
        <f>HYPERLINK("https://klasma.github.io/Logging_1907/tillsyn/A 25583-2024 tillsynsbegäran.docx", "A 25583-2024")</f>
        <v/>
      </c>
      <c r="Y52">
        <f>HYPERLINK("https://klasma.github.io/Logging_1907/tillsynsmail/A 25583-2024 tillsynsbegäran mail.docx", "A 25583-2024")</f>
        <v/>
      </c>
    </row>
    <row r="53" ht="15" customHeight="1">
      <c r="A53" t="inlineStr">
        <is>
          <t>A 56362-2023</t>
        </is>
      </c>
      <c r="B53" s="1" t="n">
        <v>45236</v>
      </c>
      <c r="C53" s="1" t="n">
        <v>46093</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39099-2022</t>
        </is>
      </c>
      <c r="B54" s="1" t="n">
        <v>44817</v>
      </c>
      <c r="C54" s="1" t="n">
        <v>46093</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13971-2023</t>
        </is>
      </c>
      <c r="B55" s="1" t="n">
        <v>45007</v>
      </c>
      <c r="C55" s="1" t="n">
        <v>46093</v>
      </c>
      <c r="D55" t="inlineStr">
        <is>
          <t>VÄSTMANLANDS LÄN</t>
        </is>
      </c>
      <c r="E55" t="inlineStr">
        <is>
          <t>SURAHAMMAR</t>
        </is>
      </c>
      <c r="F55" t="inlineStr">
        <is>
          <t>Bergvik skog väst AB</t>
        </is>
      </c>
      <c r="G55" t="n">
        <v>2.9</v>
      </c>
      <c r="H55" t="n">
        <v>1</v>
      </c>
      <c r="I55" t="n">
        <v>0</v>
      </c>
      <c r="J55" t="n">
        <v>0</v>
      </c>
      <c r="K55" t="n">
        <v>0</v>
      </c>
      <c r="L55" t="n">
        <v>0</v>
      </c>
      <c r="M55" t="n">
        <v>0</v>
      </c>
      <c r="N55" t="n">
        <v>0</v>
      </c>
      <c r="O55" t="n">
        <v>0</v>
      </c>
      <c r="P55" t="n">
        <v>0</v>
      </c>
      <c r="Q55" t="n">
        <v>1</v>
      </c>
      <c r="R55" s="2" t="inlineStr">
        <is>
          <t>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42765-2022</t>
        </is>
      </c>
      <c r="B56" s="1" t="n">
        <v>44832</v>
      </c>
      <c r="C56" s="1" t="n">
        <v>46093</v>
      </c>
      <c r="D56" t="inlineStr">
        <is>
          <t>VÄSTMANLANDS LÄN</t>
        </is>
      </c>
      <c r="E56" t="inlineStr">
        <is>
          <t>SURAHAMMAR</t>
        </is>
      </c>
      <c r="G56" t="n">
        <v>1.8</v>
      </c>
      <c r="H56" t="n">
        <v>1</v>
      </c>
      <c r="I56" t="n">
        <v>0</v>
      </c>
      <c r="J56" t="n">
        <v>0</v>
      </c>
      <c r="K56" t="n">
        <v>0</v>
      </c>
      <c r="L56" t="n">
        <v>0</v>
      </c>
      <c r="M56" t="n">
        <v>0</v>
      </c>
      <c r="N56" t="n">
        <v>0</v>
      </c>
      <c r="O56" t="n">
        <v>0</v>
      </c>
      <c r="P56" t="n">
        <v>0</v>
      </c>
      <c r="Q56" t="n">
        <v>1</v>
      </c>
      <c r="R56" s="2" t="inlineStr">
        <is>
          <t>Blåsippa</t>
        </is>
      </c>
      <c r="S56">
        <f>HYPERLINK("https://klasma.github.io/Logging_1907/artfynd/A 42765-2022 artfynd.xlsx", "A 42765-2022")</f>
        <v/>
      </c>
      <c r="T56">
        <f>HYPERLINK("https://klasma.github.io/Logging_1907/kartor/A 42765-2022 karta.png", "A 42765-2022")</f>
        <v/>
      </c>
      <c r="V56">
        <f>HYPERLINK("https://klasma.github.io/Logging_1907/klagomål/A 42765-2022 FSC-klagomål.docx", "A 42765-2022")</f>
        <v/>
      </c>
      <c r="W56">
        <f>HYPERLINK("https://klasma.github.io/Logging_1907/klagomålsmail/A 42765-2022 FSC-klagomål mail.docx", "A 42765-2022")</f>
        <v/>
      </c>
      <c r="X56">
        <f>HYPERLINK("https://klasma.github.io/Logging_1907/tillsyn/A 42765-2022 tillsynsbegäran.docx", "A 42765-2022")</f>
        <v/>
      </c>
      <c r="Y56">
        <f>HYPERLINK("https://klasma.github.io/Logging_1907/tillsynsmail/A 42765-2022 tillsynsbegäran mail.docx", "A 42765-2022")</f>
        <v/>
      </c>
    </row>
    <row r="57" ht="15" customHeight="1">
      <c r="A57" t="inlineStr">
        <is>
          <t>A 34582-2025</t>
        </is>
      </c>
      <c r="B57" s="1" t="n">
        <v>45846</v>
      </c>
      <c r="C57" s="1" t="n">
        <v>46093</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44356-2024</t>
        </is>
      </c>
      <c r="B58" s="1" t="n">
        <v>45573</v>
      </c>
      <c r="C58" s="1" t="n">
        <v>46093</v>
      </c>
      <c r="D58" t="inlineStr">
        <is>
          <t>VÄSTMANLANDS LÄN</t>
        </is>
      </c>
      <c r="E58" t="inlineStr">
        <is>
          <t>SURAHAMMAR</t>
        </is>
      </c>
      <c r="F58" t="inlineStr">
        <is>
          <t>Sveaskog</t>
        </is>
      </c>
      <c r="G58" t="n">
        <v>0.7</v>
      </c>
      <c r="H58" t="n">
        <v>1</v>
      </c>
      <c r="I58" t="n">
        <v>0</v>
      </c>
      <c r="J58" t="n">
        <v>0</v>
      </c>
      <c r="K58" t="n">
        <v>0</v>
      </c>
      <c r="L58" t="n">
        <v>0</v>
      </c>
      <c r="M58" t="n">
        <v>0</v>
      </c>
      <c r="N58" t="n">
        <v>0</v>
      </c>
      <c r="O58" t="n">
        <v>0</v>
      </c>
      <c r="P58" t="n">
        <v>0</v>
      </c>
      <c r="Q58" t="n">
        <v>1</v>
      </c>
      <c r="R58" s="2" t="inlineStr">
        <is>
          <t>Revlummer</t>
        </is>
      </c>
      <c r="S58">
        <f>HYPERLINK("https://klasma.github.io/Logging_1907/artfynd/A 44356-2024 artfynd.xlsx", "A 44356-2024")</f>
        <v/>
      </c>
      <c r="T58">
        <f>HYPERLINK("https://klasma.github.io/Logging_1907/kartor/A 44356-2024 karta.png", "A 44356-2024")</f>
        <v/>
      </c>
      <c r="V58">
        <f>HYPERLINK("https://klasma.github.io/Logging_1907/klagomål/A 44356-2024 FSC-klagomål.docx", "A 44356-2024")</f>
        <v/>
      </c>
      <c r="W58">
        <f>HYPERLINK("https://klasma.github.io/Logging_1907/klagomålsmail/A 44356-2024 FSC-klagomål mail.docx", "A 44356-2024")</f>
        <v/>
      </c>
      <c r="X58">
        <f>HYPERLINK("https://klasma.github.io/Logging_1907/tillsyn/A 44356-2024 tillsynsbegäran.docx", "A 44356-2024")</f>
        <v/>
      </c>
      <c r="Y58">
        <f>HYPERLINK("https://klasma.github.io/Logging_1907/tillsynsmail/A 44356-2024 tillsynsbegäran mail.docx", "A 44356-2024")</f>
        <v/>
      </c>
    </row>
    <row r="59" ht="15" customHeight="1">
      <c r="A59" t="inlineStr">
        <is>
          <t>A 42089-2025</t>
        </is>
      </c>
      <c r="B59" s="1" t="n">
        <v>45902</v>
      </c>
      <c r="C59" s="1" t="n">
        <v>46093</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69777-2021</t>
        </is>
      </c>
      <c r="B60" s="1" t="n">
        <v>44532</v>
      </c>
      <c r="C60" s="1" t="n">
        <v>46093</v>
      </c>
      <c r="D60" t="inlineStr">
        <is>
          <t>VÄSTMANLANDS LÄN</t>
        </is>
      </c>
      <c r="E60" t="inlineStr">
        <is>
          <t>SURAHAMMAR</t>
        </is>
      </c>
      <c r="G60" t="n">
        <v>2.3</v>
      </c>
      <c r="H60" t="n">
        <v>1</v>
      </c>
      <c r="I60" t="n">
        <v>0</v>
      </c>
      <c r="J60" t="n">
        <v>0</v>
      </c>
      <c r="K60" t="n">
        <v>1</v>
      </c>
      <c r="L60" t="n">
        <v>0</v>
      </c>
      <c r="M60" t="n">
        <v>0</v>
      </c>
      <c r="N60" t="n">
        <v>0</v>
      </c>
      <c r="O60" t="n">
        <v>1</v>
      </c>
      <c r="P60" t="n">
        <v>1</v>
      </c>
      <c r="Q60" t="n">
        <v>1</v>
      </c>
      <c r="R60" s="2" t="inlineStr">
        <is>
          <t>Bombmurkla</t>
        </is>
      </c>
      <c r="S60">
        <f>HYPERLINK("https://klasma.github.io/Logging_1907/artfynd/A 69777-2021 artfynd.xlsx", "A 69777-2021")</f>
        <v/>
      </c>
      <c r="T60">
        <f>HYPERLINK("https://klasma.github.io/Logging_1907/kartor/A 69777-2021 karta.png", "A 69777-2021")</f>
        <v/>
      </c>
      <c r="V60">
        <f>HYPERLINK("https://klasma.github.io/Logging_1907/klagomål/A 69777-2021 FSC-klagomål.docx", "A 69777-2021")</f>
        <v/>
      </c>
      <c r="W60">
        <f>HYPERLINK("https://klasma.github.io/Logging_1907/klagomålsmail/A 69777-2021 FSC-klagomål mail.docx", "A 69777-2021")</f>
        <v/>
      </c>
      <c r="X60">
        <f>HYPERLINK("https://klasma.github.io/Logging_1907/tillsyn/A 69777-2021 tillsynsbegäran.docx", "A 69777-2021")</f>
        <v/>
      </c>
      <c r="Y60">
        <f>HYPERLINK("https://klasma.github.io/Logging_1907/tillsynsmail/A 69777-2021 tillsynsbegäran mail.docx", "A 69777-2021")</f>
        <v/>
      </c>
    </row>
    <row r="61" ht="15" customHeight="1">
      <c r="A61" t="inlineStr">
        <is>
          <t>A 14001-2023</t>
        </is>
      </c>
      <c r="B61" s="1" t="n">
        <v>45007</v>
      </c>
      <c r="C61" s="1" t="n">
        <v>46093</v>
      </c>
      <c r="D61" t="inlineStr">
        <is>
          <t>VÄSTMANLANDS LÄN</t>
        </is>
      </c>
      <c r="E61" t="inlineStr">
        <is>
          <t>SURAHAMMAR</t>
        </is>
      </c>
      <c r="F61" t="inlineStr">
        <is>
          <t>Bergvik skog väst AB</t>
        </is>
      </c>
      <c r="G61" t="n">
        <v>1</v>
      </c>
      <c r="H61" t="n">
        <v>0</v>
      </c>
      <c r="I61" t="n">
        <v>0</v>
      </c>
      <c r="J61" t="n">
        <v>1</v>
      </c>
      <c r="K61" t="n">
        <v>0</v>
      </c>
      <c r="L61" t="n">
        <v>0</v>
      </c>
      <c r="M61" t="n">
        <v>0</v>
      </c>
      <c r="N61" t="n">
        <v>0</v>
      </c>
      <c r="O61" t="n">
        <v>1</v>
      </c>
      <c r="P61" t="n">
        <v>0</v>
      </c>
      <c r="Q61" t="n">
        <v>1</v>
      </c>
      <c r="R61" s="2" t="inlineStr">
        <is>
          <t>Motaggsvamp</t>
        </is>
      </c>
      <c r="S61">
        <f>HYPERLINK("https://klasma.github.io/Logging_1907/artfynd/A 14001-2023 artfynd.xlsx", "A 14001-2023")</f>
        <v/>
      </c>
      <c r="T61">
        <f>HYPERLINK("https://klasma.github.io/Logging_1907/kartor/A 14001-2023 karta.png", "A 14001-2023")</f>
        <v/>
      </c>
      <c r="V61">
        <f>HYPERLINK("https://klasma.github.io/Logging_1907/klagomål/A 14001-2023 FSC-klagomål.docx", "A 14001-2023")</f>
        <v/>
      </c>
      <c r="W61">
        <f>HYPERLINK("https://klasma.github.io/Logging_1907/klagomålsmail/A 14001-2023 FSC-klagomål mail.docx", "A 14001-2023")</f>
        <v/>
      </c>
      <c r="X61">
        <f>HYPERLINK("https://klasma.github.io/Logging_1907/tillsyn/A 14001-2023 tillsynsbegäran.docx", "A 14001-2023")</f>
        <v/>
      </c>
      <c r="Y61">
        <f>HYPERLINK("https://klasma.github.io/Logging_1907/tillsynsmail/A 14001-2023 tillsynsbegäran mail.docx", "A 14001-2023")</f>
        <v/>
      </c>
    </row>
    <row r="62" ht="15" customHeight="1">
      <c r="A62" t="inlineStr">
        <is>
          <t>A 47453-2024</t>
        </is>
      </c>
      <c r="B62" s="1" t="n">
        <v>45587.55017361111</v>
      </c>
      <c r="C62" s="1" t="n">
        <v>46093</v>
      </c>
      <c r="D62" t="inlineStr">
        <is>
          <t>VÄSTMANLANDS LÄN</t>
        </is>
      </c>
      <c r="E62" t="inlineStr">
        <is>
          <t>SURAHAMMAR</t>
        </is>
      </c>
      <c r="G62" t="n">
        <v>5.1</v>
      </c>
      <c r="H62" t="n">
        <v>1</v>
      </c>
      <c r="I62" t="n">
        <v>0</v>
      </c>
      <c r="J62" t="n">
        <v>0</v>
      </c>
      <c r="K62" t="n">
        <v>0</v>
      </c>
      <c r="L62" t="n">
        <v>0</v>
      </c>
      <c r="M62" t="n">
        <v>0</v>
      </c>
      <c r="N62" t="n">
        <v>0</v>
      </c>
      <c r="O62" t="n">
        <v>0</v>
      </c>
      <c r="P62" t="n">
        <v>0</v>
      </c>
      <c r="Q62" t="n">
        <v>1</v>
      </c>
      <c r="R62" s="2" t="inlineStr">
        <is>
          <t>Göktyta</t>
        </is>
      </c>
      <c r="S62">
        <f>HYPERLINK("https://klasma.github.io/Logging_1907/artfynd/A 47453-2024 artfynd.xlsx", "A 47453-2024")</f>
        <v/>
      </c>
      <c r="T62">
        <f>HYPERLINK("https://klasma.github.io/Logging_1907/kartor/A 47453-2024 karta.png", "A 47453-2024")</f>
        <v/>
      </c>
      <c r="V62">
        <f>HYPERLINK("https://klasma.github.io/Logging_1907/klagomål/A 47453-2024 FSC-klagomål.docx", "A 47453-2024")</f>
        <v/>
      </c>
      <c r="W62">
        <f>HYPERLINK("https://klasma.github.io/Logging_1907/klagomålsmail/A 47453-2024 FSC-klagomål mail.docx", "A 47453-2024")</f>
        <v/>
      </c>
      <c r="X62">
        <f>HYPERLINK("https://klasma.github.io/Logging_1907/tillsyn/A 47453-2024 tillsynsbegäran.docx", "A 47453-2024")</f>
        <v/>
      </c>
      <c r="Y62">
        <f>HYPERLINK("https://klasma.github.io/Logging_1907/tillsynsmail/A 47453-2024 tillsynsbegäran mail.docx", "A 47453-2024")</f>
        <v/>
      </c>
      <c r="Z62">
        <f>HYPERLINK("https://klasma.github.io/Logging_1907/fåglar/A 47453-2024 prioriterade fågelarter.docx", "A 47453-2024")</f>
        <v/>
      </c>
    </row>
    <row r="63" ht="15" customHeight="1">
      <c r="A63" t="inlineStr">
        <is>
          <t>A 10819-2024</t>
        </is>
      </c>
      <c r="B63" s="1" t="n">
        <v>45369.66049768519</v>
      </c>
      <c r="C63" s="1" t="n">
        <v>46093</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17632-2022</t>
        </is>
      </c>
      <c r="B64" s="1" t="n">
        <v>44680</v>
      </c>
      <c r="C64" s="1" t="n">
        <v>46093</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55042-2025</t>
        </is>
      </c>
      <c r="B65" s="1" t="n">
        <v>45967.65858796296</v>
      </c>
      <c r="C65" s="1" t="n">
        <v>46093</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46093</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22840-2023</t>
        </is>
      </c>
      <c r="B67" s="1" t="n">
        <v>45072</v>
      </c>
      <c r="C67" s="1" t="n">
        <v>46093</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56768-2025</t>
        </is>
      </c>
      <c r="B68" s="1" t="n">
        <v>45978</v>
      </c>
      <c r="C68" s="1" t="n">
        <v>46093</v>
      </c>
      <c r="D68" t="inlineStr">
        <is>
          <t>VÄSTMANLANDS LÄN</t>
        </is>
      </c>
      <c r="E68" t="inlineStr">
        <is>
          <t>SURAHAMMAR</t>
        </is>
      </c>
      <c r="F68" t="inlineStr">
        <is>
          <t>Sveaskog</t>
        </is>
      </c>
      <c r="G68" t="n">
        <v>3.8</v>
      </c>
      <c r="H68" t="n">
        <v>0</v>
      </c>
      <c r="I68" t="n">
        <v>0</v>
      </c>
      <c r="J68" t="n">
        <v>1</v>
      </c>
      <c r="K68" t="n">
        <v>0</v>
      </c>
      <c r="L68" t="n">
        <v>0</v>
      </c>
      <c r="M68" t="n">
        <v>0</v>
      </c>
      <c r="N68" t="n">
        <v>0</v>
      </c>
      <c r="O68" t="n">
        <v>1</v>
      </c>
      <c r="P68" t="n">
        <v>0</v>
      </c>
      <c r="Q68" t="n">
        <v>1</v>
      </c>
      <c r="R68" s="2" t="inlineStr">
        <is>
          <t>Motaggsvamp</t>
        </is>
      </c>
      <c r="S68">
        <f>HYPERLINK("https://klasma.github.io/Logging_1907/artfynd/A 56768-2025 artfynd.xlsx", "A 56768-2025")</f>
        <v/>
      </c>
      <c r="T68">
        <f>HYPERLINK("https://klasma.github.io/Logging_1907/kartor/A 56768-2025 karta.png", "A 56768-2025")</f>
        <v/>
      </c>
      <c r="V68">
        <f>HYPERLINK("https://klasma.github.io/Logging_1907/klagomål/A 56768-2025 FSC-klagomål.docx", "A 56768-2025")</f>
        <v/>
      </c>
      <c r="W68">
        <f>HYPERLINK("https://klasma.github.io/Logging_1907/klagomålsmail/A 56768-2025 FSC-klagomål mail.docx", "A 56768-2025")</f>
        <v/>
      </c>
      <c r="X68">
        <f>HYPERLINK("https://klasma.github.io/Logging_1907/tillsyn/A 56768-2025 tillsynsbegäran.docx", "A 56768-2025")</f>
        <v/>
      </c>
      <c r="Y68">
        <f>HYPERLINK("https://klasma.github.io/Logging_1907/tillsynsmail/A 56768-2025 tillsynsbegäran mail.docx", "A 56768-2025")</f>
        <v/>
      </c>
    </row>
    <row r="69" ht="15" customHeight="1">
      <c r="A69" t="inlineStr">
        <is>
          <t>A 40411-2021</t>
        </is>
      </c>
      <c r="B69" s="1" t="n">
        <v>44419</v>
      </c>
      <c r="C69" s="1" t="n">
        <v>46093</v>
      </c>
      <c r="D69" t="inlineStr">
        <is>
          <t>VÄSTMANLANDS LÄN</t>
        </is>
      </c>
      <c r="E69" t="inlineStr">
        <is>
          <t>SURAHAMMAR</t>
        </is>
      </c>
      <c r="F69" t="inlineStr">
        <is>
          <t>Sveaskog</t>
        </is>
      </c>
      <c r="G69" t="n">
        <v>2.4</v>
      </c>
      <c r="H69" t="n">
        <v>1</v>
      </c>
      <c r="I69" t="n">
        <v>0</v>
      </c>
      <c r="J69" t="n">
        <v>0</v>
      </c>
      <c r="K69" t="n">
        <v>0</v>
      </c>
      <c r="L69" t="n">
        <v>0</v>
      </c>
      <c r="M69" t="n">
        <v>0</v>
      </c>
      <c r="N69" t="n">
        <v>0</v>
      </c>
      <c r="O69" t="n">
        <v>0</v>
      </c>
      <c r="P69" t="n">
        <v>0</v>
      </c>
      <c r="Q69" t="n">
        <v>1</v>
      </c>
      <c r="R69" s="2" t="inlineStr">
        <is>
          <t>Kopparödla</t>
        </is>
      </c>
      <c r="S69">
        <f>HYPERLINK("https://klasma.github.io/Logging_1907/artfynd/A 40411-2021 artfynd.xlsx", "A 40411-2021")</f>
        <v/>
      </c>
      <c r="T69">
        <f>HYPERLINK("https://klasma.github.io/Logging_1907/kartor/A 40411-2021 karta.png", "A 40411-2021")</f>
        <v/>
      </c>
      <c r="V69">
        <f>HYPERLINK("https://klasma.github.io/Logging_1907/klagomål/A 40411-2021 FSC-klagomål.docx", "A 40411-2021")</f>
        <v/>
      </c>
      <c r="W69">
        <f>HYPERLINK("https://klasma.github.io/Logging_1907/klagomålsmail/A 40411-2021 FSC-klagomål mail.docx", "A 40411-2021")</f>
        <v/>
      </c>
      <c r="X69">
        <f>HYPERLINK("https://klasma.github.io/Logging_1907/tillsyn/A 40411-2021 tillsynsbegäran.docx", "A 40411-2021")</f>
        <v/>
      </c>
      <c r="Y69">
        <f>HYPERLINK("https://klasma.github.io/Logging_1907/tillsynsmail/A 40411-2021 tillsynsbegäran mail.docx", "A 40411-2021")</f>
        <v/>
      </c>
    </row>
    <row r="70" ht="15" customHeight="1">
      <c r="A70" t="inlineStr">
        <is>
          <t>A 33231-2024</t>
        </is>
      </c>
      <c r="B70" s="1" t="n">
        <v>45518</v>
      </c>
      <c r="C70" s="1" t="n">
        <v>46093</v>
      </c>
      <c r="D70" t="inlineStr">
        <is>
          <t>VÄSTMANLANDS LÄN</t>
        </is>
      </c>
      <c r="E70" t="inlineStr">
        <is>
          <t>SURAHAMMAR</t>
        </is>
      </c>
      <c r="F70" t="inlineStr">
        <is>
          <t>Bergvik skog väst AB</t>
        </is>
      </c>
      <c r="G70" t="n">
        <v>1.5</v>
      </c>
      <c r="H70" t="n">
        <v>1</v>
      </c>
      <c r="I70" t="n">
        <v>0</v>
      </c>
      <c r="J70" t="n">
        <v>0</v>
      </c>
      <c r="K70" t="n">
        <v>0</v>
      </c>
      <c r="L70" t="n">
        <v>0</v>
      </c>
      <c r="M70" t="n">
        <v>0</v>
      </c>
      <c r="N70" t="n">
        <v>0</v>
      </c>
      <c r="O70" t="n">
        <v>0</v>
      </c>
      <c r="P70" t="n">
        <v>0</v>
      </c>
      <c r="Q70" t="n">
        <v>1</v>
      </c>
      <c r="R70" s="2" t="inlineStr">
        <is>
          <t>Mindre vattensalamander</t>
        </is>
      </c>
      <c r="S70">
        <f>HYPERLINK("https://klasma.github.io/Logging_1907/artfynd/A 33231-2024 artfynd.xlsx", "A 33231-2024")</f>
        <v/>
      </c>
      <c r="T70">
        <f>HYPERLINK("https://klasma.github.io/Logging_1907/kartor/A 33231-2024 karta.png", "A 33231-2024")</f>
        <v/>
      </c>
      <c r="V70">
        <f>HYPERLINK("https://klasma.github.io/Logging_1907/klagomål/A 33231-2024 FSC-klagomål.docx", "A 33231-2024")</f>
        <v/>
      </c>
      <c r="W70">
        <f>HYPERLINK("https://klasma.github.io/Logging_1907/klagomålsmail/A 33231-2024 FSC-klagomål mail.docx", "A 33231-2024")</f>
        <v/>
      </c>
      <c r="X70">
        <f>HYPERLINK("https://klasma.github.io/Logging_1907/tillsyn/A 33231-2024 tillsynsbegäran.docx", "A 33231-2024")</f>
        <v/>
      </c>
      <c r="Y70">
        <f>HYPERLINK("https://klasma.github.io/Logging_1907/tillsynsmail/A 33231-2024 tillsynsbegäran mail.docx", "A 33231-2024")</f>
        <v/>
      </c>
    </row>
    <row r="71" ht="15" customHeight="1">
      <c r="A71" t="inlineStr">
        <is>
          <t>A 30074-2023</t>
        </is>
      </c>
      <c r="B71" s="1" t="n">
        <v>45110</v>
      </c>
      <c r="C71" s="1" t="n">
        <v>46093</v>
      </c>
      <c r="D71" t="inlineStr">
        <is>
          <t>VÄSTMANLANDS LÄN</t>
        </is>
      </c>
      <c r="E71" t="inlineStr">
        <is>
          <t>SURAHAMMAR</t>
        </is>
      </c>
      <c r="F71" t="inlineStr">
        <is>
          <t>Sveaskog</t>
        </is>
      </c>
      <c r="G71" t="n">
        <v>1.1</v>
      </c>
      <c r="H71" t="n">
        <v>1</v>
      </c>
      <c r="I71" t="n">
        <v>0</v>
      </c>
      <c r="J71" t="n">
        <v>0</v>
      </c>
      <c r="K71" t="n">
        <v>0</v>
      </c>
      <c r="L71" t="n">
        <v>0</v>
      </c>
      <c r="M71" t="n">
        <v>0</v>
      </c>
      <c r="N71" t="n">
        <v>0</v>
      </c>
      <c r="O71" t="n">
        <v>0</v>
      </c>
      <c r="P71" t="n">
        <v>0</v>
      </c>
      <c r="Q71" t="n">
        <v>1</v>
      </c>
      <c r="R71" s="2" t="inlineStr">
        <is>
          <t>Revlummer</t>
        </is>
      </c>
      <c r="S71">
        <f>HYPERLINK("https://klasma.github.io/Logging_1907/artfynd/A 30074-2023 artfynd.xlsx", "A 30074-2023")</f>
        <v/>
      </c>
      <c r="T71">
        <f>HYPERLINK("https://klasma.github.io/Logging_1907/kartor/A 30074-2023 karta.png", "A 30074-2023")</f>
        <v/>
      </c>
      <c r="V71">
        <f>HYPERLINK("https://klasma.github.io/Logging_1907/klagomål/A 30074-2023 FSC-klagomål.docx", "A 30074-2023")</f>
        <v/>
      </c>
      <c r="W71">
        <f>HYPERLINK("https://klasma.github.io/Logging_1907/klagomålsmail/A 30074-2023 FSC-klagomål mail.docx", "A 30074-2023")</f>
        <v/>
      </c>
      <c r="X71">
        <f>HYPERLINK("https://klasma.github.io/Logging_1907/tillsyn/A 30074-2023 tillsynsbegäran.docx", "A 30074-2023")</f>
        <v/>
      </c>
      <c r="Y71">
        <f>HYPERLINK("https://klasma.github.io/Logging_1907/tillsynsmail/A 30074-2023 tillsynsbegäran mail.docx", "A 30074-2023")</f>
        <v/>
      </c>
    </row>
    <row r="72" ht="15" customHeight="1">
      <c r="A72" t="inlineStr">
        <is>
          <t>A 31176-2024</t>
        </is>
      </c>
      <c r="B72" s="1" t="n">
        <v>45503</v>
      </c>
      <c r="C72" s="1" t="n">
        <v>46093</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63145-2025</t>
        </is>
      </c>
      <c r="B73" s="1" t="n">
        <v>46009</v>
      </c>
      <c r="C73" s="1" t="n">
        <v>46093</v>
      </c>
      <c r="D73" t="inlineStr">
        <is>
          <t>VÄSTMANLANDS LÄN</t>
        </is>
      </c>
      <c r="E73" t="inlineStr">
        <is>
          <t>SURAHAMMAR</t>
        </is>
      </c>
      <c r="F73" t="inlineStr">
        <is>
          <t>Bergvik skog väst AB</t>
        </is>
      </c>
      <c r="G73" t="n">
        <v>40.5</v>
      </c>
      <c r="H73" t="n">
        <v>0</v>
      </c>
      <c r="I73" t="n">
        <v>1</v>
      </c>
      <c r="J73" t="n">
        <v>0</v>
      </c>
      <c r="K73" t="n">
        <v>0</v>
      </c>
      <c r="L73" t="n">
        <v>0</v>
      </c>
      <c r="M73" t="n">
        <v>0</v>
      </c>
      <c r="N73" t="n">
        <v>0</v>
      </c>
      <c r="O73" t="n">
        <v>0</v>
      </c>
      <c r="P73" t="n">
        <v>0</v>
      </c>
      <c r="Q73" t="n">
        <v>1</v>
      </c>
      <c r="R73" s="2" t="inlineStr">
        <is>
          <t>Svart trolldruva</t>
        </is>
      </c>
      <c r="S73">
        <f>HYPERLINK("https://klasma.github.io/Logging_1907/artfynd/A 63145-2025 artfynd.xlsx", "A 63145-2025")</f>
        <v/>
      </c>
      <c r="T73">
        <f>HYPERLINK("https://klasma.github.io/Logging_1907/kartor/A 63145-2025 karta.png", "A 63145-2025")</f>
        <v/>
      </c>
      <c r="V73">
        <f>HYPERLINK("https://klasma.github.io/Logging_1907/klagomål/A 63145-2025 FSC-klagomål.docx", "A 63145-2025")</f>
        <v/>
      </c>
      <c r="W73">
        <f>HYPERLINK("https://klasma.github.io/Logging_1907/klagomålsmail/A 63145-2025 FSC-klagomål mail.docx", "A 63145-2025")</f>
        <v/>
      </c>
      <c r="X73">
        <f>HYPERLINK("https://klasma.github.io/Logging_1907/tillsyn/A 63145-2025 tillsynsbegäran.docx", "A 63145-2025")</f>
        <v/>
      </c>
      <c r="Y73">
        <f>HYPERLINK("https://klasma.github.io/Logging_1907/tillsynsmail/A 63145-2025 tillsynsbegäran mail.docx", "A 63145-2025")</f>
        <v/>
      </c>
    </row>
    <row r="74" ht="15" customHeight="1">
      <c r="A74" t="inlineStr">
        <is>
          <t>A 43451-2024</t>
        </is>
      </c>
      <c r="B74" s="1" t="n">
        <v>45568</v>
      </c>
      <c r="C74" s="1" t="n">
        <v>46093</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46093</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64073-2021</t>
        </is>
      </c>
      <c r="B76" s="1" t="n">
        <v>44509</v>
      </c>
      <c r="C76" s="1" t="n">
        <v>46093</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46093</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46093</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46093</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46093</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46093</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46093</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46093</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46093</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46093</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46093</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46093</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46093</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46093</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46093</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46093</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46093</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34584-2025</t>
        </is>
      </c>
      <c r="B93" s="1" t="n">
        <v>45846</v>
      </c>
      <c r="C93" s="1" t="n">
        <v>46093</v>
      </c>
      <c r="D93" t="inlineStr">
        <is>
          <t>VÄSTMANLANDS LÄN</t>
        </is>
      </c>
      <c r="E93" t="inlineStr">
        <is>
          <t>SURAHAMMAR</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47785-2021</t>
        </is>
      </c>
      <c r="B94" s="1" t="n">
        <v>44448</v>
      </c>
      <c r="C94" s="1" t="n">
        <v>46093</v>
      </c>
      <c r="D94" t="inlineStr">
        <is>
          <t>VÄSTMANLANDS LÄN</t>
        </is>
      </c>
      <c r="E94" t="inlineStr">
        <is>
          <t>SURAHAMMAR</t>
        </is>
      </c>
      <c r="F94" t="inlineStr">
        <is>
          <t>Kommuner</t>
        </is>
      </c>
      <c r="G94" t="n">
        <v>3.3</v>
      </c>
      <c r="H94" t="n">
        <v>0</v>
      </c>
      <c r="I94" t="n">
        <v>0</v>
      </c>
      <c r="J94" t="n">
        <v>0</v>
      </c>
      <c r="K94" t="n">
        <v>0</v>
      </c>
      <c r="L94" t="n">
        <v>0</v>
      </c>
      <c r="M94" t="n">
        <v>0</v>
      </c>
      <c r="N94" t="n">
        <v>0</v>
      </c>
      <c r="O94" t="n">
        <v>0</v>
      </c>
      <c r="P94" t="n">
        <v>0</v>
      </c>
      <c r="Q94" t="n">
        <v>0</v>
      </c>
      <c r="R94" s="2" t="inlineStr"/>
    </row>
    <row r="95" ht="15" customHeight="1">
      <c r="A95" t="inlineStr">
        <is>
          <t>A 25450-2024</t>
        </is>
      </c>
      <c r="B95" s="1" t="n">
        <v>45463</v>
      </c>
      <c r="C95" s="1" t="n">
        <v>46093</v>
      </c>
      <c r="D95" t="inlineStr">
        <is>
          <t>VÄSTMANLANDS LÄN</t>
        </is>
      </c>
      <c r="E95" t="inlineStr">
        <is>
          <t>SURAHAMMAR</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34957-2022</t>
        </is>
      </c>
      <c r="B96" s="1" t="n">
        <v>44796.64672453704</v>
      </c>
      <c r="C96" s="1" t="n">
        <v>46093</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10883-2023</t>
        </is>
      </c>
      <c r="B97" s="1" t="n">
        <v>44991</v>
      </c>
      <c r="C97" s="1" t="n">
        <v>46093</v>
      </c>
      <c r="D97" t="inlineStr">
        <is>
          <t>VÄSTMANLANDS LÄN</t>
        </is>
      </c>
      <c r="E97" t="inlineStr">
        <is>
          <t>SURAHAMMAR</t>
        </is>
      </c>
      <c r="F97" t="inlineStr">
        <is>
          <t>Övriga Aktiebolag</t>
        </is>
      </c>
      <c r="G97" t="n">
        <v>12.5</v>
      </c>
      <c r="H97" t="n">
        <v>0</v>
      </c>
      <c r="I97" t="n">
        <v>0</v>
      </c>
      <c r="J97" t="n">
        <v>0</v>
      </c>
      <c r="K97" t="n">
        <v>0</v>
      </c>
      <c r="L97" t="n">
        <v>0</v>
      </c>
      <c r="M97" t="n">
        <v>0</v>
      </c>
      <c r="N97" t="n">
        <v>0</v>
      </c>
      <c r="O97" t="n">
        <v>0</v>
      </c>
      <c r="P97" t="n">
        <v>0</v>
      </c>
      <c r="Q97" t="n">
        <v>0</v>
      </c>
      <c r="R97" s="2" t="inlineStr"/>
    </row>
    <row r="98" ht="15" customHeight="1">
      <c r="A98" t="inlineStr">
        <is>
          <t>A 21509-2024</t>
        </is>
      </c>
      <c r="B98" s="1" t="n">
        <v>45441</v>
      </c>
      <c r="C98" s="1" t="n">
        <v>46093</v>
      </c>
      <c r="D98" t="inlineStr">
        <is>
          <t>VÄSTMANLANDS LÄN</t>
        </is>
      </c>
      <c r="E98" t="inlineStr">
        <is>
          <t>SURAHAMMAR</t>
        </is>
      </c>
      <c r="F98" t="inlineStr">
        <is>
          <t>Bergvik skog väst AB</t>
        </is>
      </c>
      <c r="G98" t="n">
        <v>3.9</v>
      </c>
      <c r="H98" t="n">
        <v>0</v>
      </c>
      <c r="I98" t="n">
        <v>0</v>
      </c>
      <c r="J98" t="n">
        <v>0</v>
      </c>
      <c r="K98" t="n">
        <v>0</v>
      </c>
      <c r="L98" t="n">
        <v>0</v>
      </c>
      <c r="M98" t="n">
        <v>0</v>
      </c>
      <c r="N98" t="n">
        <v>0</v>
      </c>
      <c r="O98" t="n">
        <v>0</v>
      </c>
      <c r="P98" t="n">
        <v>0</v>
      </c>
      <c r="Q98" t="n">
        <v>0</v>
      </c>
      <c r="R98" s="2" t="inlineStr"/>
    </row>
    <row r="99" ht="15" customHeight="1">
      <c r="A99" t="inlineStr">
        <is>
          <t>A 42832-2022</t>
        </is>
      </c>
      <c r="B99" s="1" t="n">
        <v>44832</v>
      </c>
      <c r="C99" s="1" t="n">
        <v>46093</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42841-2022</t>
        </is>
      </c>
      <c r="B100" s="1" t="n">
        <v>44832</v>
      </c>
      <c r="C100" s="1" t="n">
        <v>46093</v>
      </c>
      <c r="D100" t="inlineStr">
        <is>
          <t>VÄSTMANLANDS LÄN</t>
        </is>
      </c>
      <c r="E100" t="inlineStr">
        <is>
          <t>SURAHAMMAR</t>
        </is>
      </c>
      <c r="G100" t="n">
        <v>1.8</v>
      </c>
      <c r="H100" t="n">
        <v>0</v>
      </c>
      <c r="I100" t="n">
        <v>0</v>
      </c>
      <c r="J100" t="n">
        <v>0</v>
      </c>
      <c r="K100" t="n">
        <v>0</v>
      </c>
      <c r="L100" t="n">
        <v>0</v>
      </c>
      <c r="M100" t="n">
        <v>0</v>
      </c>
      <c r="N100" t="n">
        <v>0</v>
      </c>
      <c r="O100" t="n">
        <v>0</v>
      </c>
      <c r="P100" t="n">
        <v>0</v>
      </c>
      <c r="Q100" t="n">
        <v>0</v>
      </c>
      <c r="R100" s="2" t="inlineStr"/>
    </row>
    <row r="101" ht="15" customHeight="1">
      <c r="A101" t="inlineStr">
        <is>
          <t>A 24158-2023</t>
        </is>
      </c>
      <c r="B101" s="1" t="n">
        <v>45079</v>
      </c>
      <c r="C101" s="1" t="n">
        <v>46093</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24665-2023</t>
        </is>
      </c>
      <c r="B102" s="1" t="n">
        <v>45084.48592592592</v>
      </c>
      <c r="C102" s="1" t="n">
        <v>46093</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24167-2024</t>
        </is>
      </c>
      <c r="B103" s="1" t="n">
        <v>45456</v>
      </c>
      <c r="C103" s="1" t="n">
        <v>46093</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72367-2021</t>
        </is>
      </c>
      <c r="B104" s="1" t="n">
        <v>44545</v>
      </c>
      <c r="C104" s="1" t="n">
        <v>46093</v>
      </c>
      <c r="D104" t="inlineStr">
        <is>
          <t>VÄSTMANLANDS LÄN</t>
        </is>
      </c>
      <c r="E104" t="inlineStr">
        <is>
          <t>SURAHAMMAR</t>
        </is>
      </c>
      <c r="G104" t="n">
        <v>2.5</v>
      </c>
      <c r="H104" t="n">
        <v>0</v>
      </c>
      <c r="I104" t="n">
        <v>0</v>
      </c>
      <c r="J104" t="n">
        <v>0</v>
      </c>
      <c r="K104" t="n">
        <v>0</v>
      </c>
      <c r="L104" t="n">
        <v>0</v>
      </c>
      <c r="M104" t="n">
        <v>0</v>
      </c>
      <c r="N104" t="n">
        <v>0</v>
      </c>
      <c r="O104" t="n">
        <v>0</v>
      </c>
      <c r="P104" t="n">
        <v>0</v>
      </c>
      <c r="Q104" t="n">
        <v>0</v>
      </c>
      <c r="R104" s="2" t="inlineStr"/>
    </row>
    <row r="105" ht="15" customHeight="1">
      <c r="A105" t="inlineStr">
        <is>
          <t>A 32910-2025</t>
        </is>
      </c>
      <c r="B105" s="1" t="n">
        <v>45839</v>
      </c>
      <c r="C105" s="1" t="n">
        <v>46093</v>
      </c>
      <c r="D105" t="inlineStr">
        <is>
          <t>VÄSTMANLANDS LÄN</t>
        </is>
      </c>
      <c r="E105" t="inlineStr">
        <is>
          <t>SURAHAMMAR</t>
        </is>
      </c>
      <c r="F105" t="inlineStr">
        <is>
          <t>Kommuner</t>
        </is>
      </c>
      <c r="G105" t="n">
        <v>1.1</v>
      </c>
      <c r="H105" t="n">
        <v>0</v>
      </c>
      <c r="I105" t="n">
        <v>0</v>
      </c>
      <c r="J105" t="n">
        <v>0</v>
      </c>
      <c r="K105" t="n">
        <v>0</v>
      </c>
      <c r="L105" t="n">
        <v>0</v>
      </c>
      <c r="M105" t="n">
        <v>0</v>
      </c>
      <c r="N105" t="n">
        <v>0</v>
      </c>
      <c r="O105" t="n">
        <v>0</v>
      </c>
      <c r="P105" t="n">
        <v>0</v>
      </c>
      <c r="Q105" t="n">
        <v>0</v>
      </c>
      <c r="R105" s="2" t="inlineStr"/>
    </row>
    <row r="106" ht="15" customHeight="1">
      <c r="A106" t="inlineStr">
        <is>
          <t>A 32916-2025</t>
        </is>
      </c>
      <c r="B106" s="1" t="n">
        <v>45839</v>
      </c>
      <c r="C106" s="1" t="n">
        <v>46093</v>
      </c>
      <c r="D106" t="inlineStr">
        <is>
          <t>VÄSTMANLANDS LÄN</t>
        </is>
      </c>
      <c r="E106" t="inlineStr">
        <is>
          <t>SURAHAMMAR</t>
        </is>
      </c>
      <c r="F106" t="inlineStr">
        <is>
          <t>Kommuner</t>
        </is>
      </c>
      <c r="G106" t="n">
        <v>4.9</v>
      </c>
      <c r="H106" t="n">
        <v>0</v>
      </c>
      <c r="I106" t="n">
        <v>0</v>
      </c>
      <c r="J106" t="n">
        <v>0</v>
      </c>
      <c r="K106" t="n">
        <v>0</v>
      </c>
      <c r="L106" t="n">
        <v>0</v>
      </c>
      <c r="M106" t="n">
        <v>0</v>
      </c>
      <c r="N106" t="n">
        <v>0</v>
      </c>
      <c r="O106" t="n">
        <v>0</v>
      </c>
      <c r="P106" t="n">
        <v>0</v>
      </c>
      <c r="Q106" t="n">
        <v>0</v>
      </c>
      <c r="R106" s="2" t="inlineStr"/>
    </row>
    <row r="107" ht="15" customHeight="1">
      <c r="A107" t="inlineStr">
        <is>
          <t>A 42714-2022</t>
        </is>
      </c>
      <c r="B107" s="1" t="n">
        <v>44832</v>
      </c>
      <c r="C107" s="1" t="n">
        <v>46093</v>
      </c>
      <c r="D107" t="inlineStr">
        <is>
          <t>VÄSTMANLANDS LÄN</t>
        </is>
      </c>
      <c r="E107" t="inlineStr">
        <is>
          <t>SURAHAMMAR</t>
        </is>
      </c>
      <c r="G107" t="n">
        <v>1.1</v>
      </c>
      <c r="H107" t="n">
        <v>0</v>
      </c>
      <c r="I107" t="n">
        <v>0</v>
      </c>
      <c r="J107" t="n">
        <v>0</v>
      </c>
      <c r="K107" t="n">
        <v>0</v>
      </c>
      <c r="L107" t="n">
        <v>0</v>
      </c>
      <c r="M107" t="n">
        <v>0</v>
      </c>
      <c r="N107" t="n">
        <v>0</v>
      </c>
      <c r="O107" t="n">
        <v>0</v>
      </c>
      <c r="P107" t="n">
        <v>0</v>
      </c>
      <c r="Q107" t="n">
        <v>0</v>
      </c>
      <c r="R107" s="2" t="inlineStr"/>
    </row>
    <row r="108" ht="15" customHeight="1">
      <c r="A108" t="inlineStr">
        <is>
          <t>A 37287-2023</t>
        </is>
      </c>
      <c r="B108" s="1" t="n">
        <v>45156</v>
      </c>
      <c r="C108" s="1" t="n">
        <v>46093</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49058-2024</t>
        </is>
      </c>
      <c r="B109" s="1" t="n">
        <v>45594</v>
      </c>
      <c r="C109" s="1" t="n">
        <v>46093</v>
      </c>
      <c r="D109" t="inlineStr">
        <is>
          <t>VÄSTMANLANDS LÄN</t>
        </is>
      </c>
      <c r="E109" t="inlineStr">
        <is>
          <t>SURAHAMMAR</t>
        </is>
      </c>
      <c r="F109" t="inlineStr">
        <is>
          <t>Sveaskog</t>
        </is>
      </c>
      <c r="G109" t="n">
        <v>11.4</v>
      </c>
      <c r="H109" t="n">
        <v>0</v>
      </c>
      <c r="I109" t="n">
        <v>0</v>
      </c>
      <c r="J109" t="n">
        <v>0</v>
      </c>
      <c r="K109" t="n">
        <v>0</v>
      </c>
      <c r="L109" t="n">
        <v>0</v>
      </c>
      <c r="M109" t="n">
        <v>0</v>
      </c>
      <c r="N109" t="n">
        <v>0</v>
      </c>
      <c r="O109" t="n">
        <v>0</v>
      </c>
      <c r="P109" t="n">
        <v>0</v>
      </c>
      <c r="Q109" t="n">
        <v>0</v>
      </c>
      <c r="R109" s="2" t="inlineStr"/>
    </row>
    <row r="110" ht="15" customHeight="1">
      <c r="A110" t="inlineStr">
        <is>
          <t>A 49060-2024</t>
        </is>
      </c>
      <c r="B110" s="1" t="n">
        <v>45594</v>
      </c>
      <c r="C110" s="1" t="n">
        <v>46093</v>
      </c>
      <c r="D110" t="inlineStr">
        <is>
          <t>VÄSTMANLANDS LÄN</t>
        </is>
      </c>
      <c r="E110" t="inlineStr">
        <is>
          <t>SURAHAMMAR</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32808-2024</t>
        </is>
      </c>
      <c r="B111" s="1" t="n">
        <v>45516</v>
      </c>
      <c r="C111" s="1" t="n">
        <v>46093</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42088-2025</t>
        </is>
      </c>
      <c r="B112" s="1" t="n">
        <v>45902</v>
      </c>
      <c r="C112" s="1" t="n">
        <v>46093</v>
      </c>
      <c r="D112" t="inlineStr">
        <is>
          <t>VÄSTMANLANDS LÄN</t>
        </is>
      </c>
      <c r="E112" t="inlineStr">
        <is>
          <t>SURAHAMMAR</t>
        </is>
      </c>
      <c r="G112" t="n">
        <v>1</v>
      </c>
      <c r="H112" t="n">
        <v>0</v>
      </c>
      <c r="I112" t="n">
        <v>0</v>
      </c>
      <c r="J112" t="n">
        <v>0</v>
      </c>
      <c r="K112" t="n">
        <v>0</v>
      </c>
      <c r="L112" t="n">
        <v>0</v>
      </c>
      <c r="M112" t="n">
        <v>0</v>
      </c>
      <c r="N112" t="n">
        <v>0</v>
      </c>
      <c r="O112" t="n">
        <v>0</v>
      </c>
      <c r="P112" t="n">
        <v>0</v>
      </c>
      <c r="Q112" t="n">
        <v>0</v>
      </c>
      <c r="R112" s="2" t="inlineStr"/>
    </row>
    <row r="113" ht="15" customHeight="1">
      <c r="A113" t="inlineStr">
        <is>
          <t>A 19099-2022</t>
        </is>
      </c>
      <c r="B113" s="1" t="n">
        <v>44691</v>
      </c>
      <c r="C113" s="1" t="n">
        <v>46093</v>
      </c>
      <c r="D113" t="inlineStr">
        <is>
          <t>VÄSTMANLANDS LÄN</t>
        </is>
      </c>
      <c r="E113" t="inlineStr">
        <is>
          <t>SURAHAMMAR</t>
        </is>
      </c>
      <c r="F113" t="inlineStr">
        <is>
          <t>Övriga Aktiebolag</t>
        </is>
      </c>
      <c r="G113" t="n">
        <v>3.4</v>
      </c>
      <c r="H113" t="n">
        <v>0</v>
      </c>
      <c r="I113" t="n">
        <v>0</v>
      </c>
      <c r="J113" t="n">
        <v>0</v>
      </c>
      <c r="K113" t="n">
        <v>0</v>
      </c>
      <c r="L113" t="n">
        <v>0</v>
      </c>
      <c r="M113" t="n">
        <v>0</v>
      </c>
      <c r="N113" t="n">
        <v>0</v>
      </c>
      <c r="O113" t="n">
        <v>0</v>
      </c>
      <c r="P113" t="n">
        <v>0</v>
      </c>
      <c r="Q113" t="n">
        <v>0</v>
      </c>
      <c r="R113" s="2" t="inlineStr"/>
    </row>
    <row r="114" ht="15" customHeight="1">
      <c r="A114" t="inlineStr">
        <is>
          <t>A 3818-2022</t>
        </is>
      </c>
      <c r="B114" s="1" t="n">
        <v>44587</v>
      </c>
      <c r="C114" s="1" t="n">
        <v>46093</v>
      </c>
      <c r="D114" t="inlineStr">
        <is>
          <t>VÄSTMANLANDS LÄN</t>
        </is>
      </c>
      <c r="E114" t="inlineStr">
        <is>
          <t>SURAHAMMAR</t>
        </is>
      </c>
      <c r="G114" t="n">
        <v>2.6</v>
      </c>
      <c r="H114" t="n">
        <v>0</v>
      </c>
      <c r="I114" t="n">
        <v>0</v>
      </c>
      <c r="J114" t="n">
        <v>0</v>
      </c>
      <c r="K114" t="n">
        <v>0</v>
      </c>
      <c r="L114" t="n">
        <v>0</v>
      </c>
      <c r="M114" t="n">
        <v>0</v>
      </c>
      <c r="N114" t="n">
        <v>0</v>
      </c>
      <c r="O114" t="n">
        <v>0</v>
      </c>
      <c r="P114" t="n">
        <v>0</v>
      </c>
      <c r="Q114" t="n">
        <v>0</v>
      </c>
      <c r="R114" s="2" t="inlineStr"/>
    </row>
    <row r="115" ht="15" customHeight="1">
      <c r="A115" t="inlineStr">
        <is>
          <t>A 43255-2025</t>
        </is>
      </c>
      <c r="B115" s="1" t="n">
        <v>45910.55325231481</v>
      </c>
      <c r="C115" s="1" t="n">
        <v>46093</v>
      </c>
      <c r="D115" t="inlineStr">
        <is>
          <t>VÄSTMANLANDS LÄN</t>
        </is>
      </c>
      <c r="E115" t="inlineStr">
        <is>
          <t>SURAHAMMAR</t>
        </is>
      </c>
      <c r="G115" t="n">
        <v>1.9</v>
      </c>
      <c r="H115" t="n">
        <v>0</v>
      </c>
      <c r="I115" t="n">
        <v>0</v>
      </c>
      <c r="J115" t="n">
        <v>0</v>
      </c>
      <c r="K115" t="n">
        <v>0</v>
      </c>
      <c r="L115" t="n">
        <v>0</v>
      </c>
      <c r="M115" t="n">
        <v>0</v>
      </c>
      <c r="N115" t="n">
        <v>0</v>
      </c>
      <c r="O115" t="n">
        <v>0</v>
      </c>
      <c r="P115" t="n">
        <v>0</v>
      </c>
      <c r="Q115" t="n">
        <v>0</v>
      </c>
      <c r="R115" s="2" t="inlineStr"/>
    </row>
    <row r="116" ht="15" customHeight="1">
      <c r="A116" t="inlineStr">
        <is>
          <t>A 31107-2025</t>
        </is>
      </c>
      <c r="B116" s="1" t="n">
        <v>45831</v>
      </c>
      <c r="C116" s="1" t="n">
        <v>46093</v>
      </c>
      <c r="D116" t="inlineStr">
        <is>
          <t>VÄSTMANLANDS LÄN</t>
        </is>
      </c>
      <c r="E116" t="inlineStr">
        <is>
          <t>SURAHAMMAR</t>
        </is>
      </c>
      <c r="F116" t="inlineStr">
        <is>
          <t>Kommuner</t>
        </is>
      </c>
      <c r="G116" t="n">
        <v>1.7</v>
      </c>
      <c r="H116" t="n">
        <v>0</v>
      </c>
      <c r="I116" t="n">
        <v>0</v>
      </c>
      <c r="J116" t="n">
        <v>0</v>
      </c>
      <c r="K116" t="n">
        <v>0</v>
      </c>
      <c r="L116" t="n">
        <v>0</v>
      </c>
      <c r="M116" t="n">
        <v>0</v>
      </c>
      <c r="N116" t="n">
        <v>0</v>
      </c>
      <c r="O116" t="n">
        <v>0</v>
      </c>
      <c r="P116" t="n">
        <v>0</v>
      </c>
      <c r="Q116" t="n">
        <v>0</v>
      </c>
      <c r="R116" s="2" t="inlineStr"/>
    </row>
    <row r="117" ht="15" customHeight="1">
      <c r="A117" t="inlineStr">
        <is>
          <t>A 43249-2025</t>
        </is>
      </c>
      <c r="B117" s="1" t="n">
        <v>45910.55059027778</v>
      </c>
      <c r="C117" s="1" t="n">
        <v>46093</v>
      </c>
      <c r="D117" t="inlineStr">
        <is>
          <t>VÄSTMANLANDS LÄN</t>
        </is>
      </c>
      <c r="E117" t="inlineStr">
        <is>
          <t>SURAHAMMAR</t>
        </is>
      </c>
      <c r="G117" t="n">
        <v>1.9</v>
      </c>
      <c r="H117" t="n">
        <v>0</v>
      </c>
      <c r="I117" t="n">
        <v>0</v>
      </c>
      <c r="J117" t="n">
        <v>0</v>
      </c>
      <c r="K117" t="n">
        <v>0</v>
      </c>
      <c r="L117" t="n">
        <v>0</v>
      </c>
      <c r="M117" t="n">
        <v>0</v>
      </c>
      <c r="N117" t="n">
        <v>0</v>
      </c>
      <c r="O117" t="n">
        <v>0</v>
      </c>
      <c r="P117" t="n">
        <v>0</v>
      </c>
      <c r="Q117" t="n">
        <v>0</v>
      </c>
      <c r="R117" s="2" t="inlineStr"/>
    </row>
    <row r="118" ht="15" customHeight="1">
      <c r="A118" t="inlineStr">
        <is>
          <t>A 25780-2023</t>
        </is>
      </c>
      <c r="B118" s="1" t="n">
        <v>45090.47523148148</v>
      </c>
      <c r="C118" s="1" t="n">
        <v>46093</v>
      </c>
      <c r="D118" t="inlineStr">
        <is>
          <t>VÄSTMANLANDS LÄN</t>
        </is>
      </c>
      <c r="E118" t="inlineStr">
        <is>
          <t>SURAHAMMAR</t>
        </is>
      </c>
      <c r="G118" t="n">
        <v>2.8</v>
      </c>
      <c r="H118" t="n">
        <v>0</v>
      </c>
      <c r="I118" t="n">
        <v>0</v>
      </c>
      <c r="J118" t="n">
        <v>0</v>
      </c>
      <c r="K118" t="n">
        <v>0</v>
      </c>
      <c r="L118" t="n">
        <v>0</v>
      </c>
      <c r="M118" t="n">
        <v>0</v>
      </c>
      <c r="N118" t="n">
        <v>0</v>
      </c>
      <c r="O118" t="n">
        <v>0</v>
      </c>
      <c r="P118" t="n">
        <v>0</v>
      </c>
      <c r="Q118" t="n">
        <v>0</v>
      </c>
      <c r="R118" s="2" t="inlineStr"/>
    </row>
    <row r="119" ht="15" customHeight="1">
      <c r="A119" t="inlineStr">
        <is>
          <t>A 13386-2025</t>
        </is>
      </c>
      <c r="B119" s="1" t="n">
        <v>45735</v>
      </c>
      <c r="C119" s="1" t="n">
        <v>46093</v>
      </c>
      <c r="D119" t="inlineStr">
        <is>
          <t>VÄSTMANLANDS LÄN</t>
        </is>
      </c>
      <c r="E119" t="inlineStr">
        <is>
          <t>SURAHAMMAR</t>
        </is>
      </c>
      <c r="F119" t="inlineStr">
        <is>
          <t>Bergvik skog väst AB</t>
        </is>
      </c>
      <c r="G119" t="n">
        <v>4</v>
      </c>
      <c r="H119" t="n">
        <v>0</v>
      </c>
      <c r="I119" t="n">
        <v>0</v>
      </c>
      <c r="J119" t="n">
        <v>0</v>
      </c>
      <c r="K119" t="n">
        <v>0</v>
      </c>
      <c r="L119" t="n">
        <v>0</v>
      </c>
      <c r="M119" t="n">
        <v>0</v>
      </c>
      <c r="N119" t="n">
        <v>0</v>
      </c>
      <c r="O119" t="n">
        <v>0</v>
      </c>
      <c r="P119" t="n">
        <v>0</v>
      </c>
      <c r="Q119" t="n">
        <v>0</v>
      </c>
      <c r="R119" s="2" t="inlineStr"/>
    </row>
    <row r="120" ht="15" customHeight="1">
      <c r="A120" t="inlineStr">
        <is>
          <t>A 13119-2022</t>
        </is>
      </c>
      <c r="B120" s="1" t="n">
        <v>44643</v>
      </c>
      <c r="C120" s="1" t="n">
        <v>46093</v>
      </c>
      <c r="D120" t="inlineStr">
        <is>
          <t>VÄSTMANLANDS LÄN</t>
        </is>
      </c>
      <c r="E120" t="inlineStr">
        <is>
          <t>SURAHAMMAR</t>
        </is>
      </c>
      <c r="F120" t="inlineStr">
        <is>
          <t>Bergvik skog väst AB</t>
        </is>
      </c>
      <c r="G120" t="n">
        <v>2</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44799.60422453703</v>
      </c>
      <c r="C121" s="1" t="n">
        <v>46093</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19782-2023</t>
        </is>
      </c>
      <c r="B122" s="1" t="n">
        <v>45050</v>
      </c>
      <c r="C122" s="1" t="n">
        <v>46093</v>
      </c>
      <c r="D122" t="inlineStr">
        <is>
          <t>VÄSTMANLANDS LÄN</t>
        </is>
      </c>
      <c r="E122" t="inlineStr">
        <is>
          <t>SURAHAMMAR</t>
        </is>
      </c>
      <c r="F122" t="inlineStr">
        <is>
          <t>Bergvik skog väst AB</t>
        </is>
      </c>
      <c r="G122" t="n">
        <v>5.2</v>
      </c>
      <c r="H122" t="n">
        <v>0</v>
      </c>
      <c r="I122" t="n">
        <v>0</v>
      </c>
      <c r="J122" t="n">
        <v>0</v>
      </c>
      <c r="K122" t="n">
        <v>0</v>
      </c>
      <c r="L122" t="n">
        <v>0</v>
      </c>
      <c r="M122" t="n">
        <v>0</v>
      </c>
      <c r="N122" t="n">
        <v>0</v>
      </c>
      <c r="O122" t="n">
        <v>0</v>
      </c>
      <c r="P122" t="n">
        <v>0</v>
      </c>
      <c r="Q122" t="n">
        <v>0</v>
      </c>
      <c r="R122" s="2" t="inlineStr"/>
    </row>
    <row r="123" ht="15" customHeight="1">
      <c r="A123" t="inlineStr">
        <is>
          <t>A 14626-2023</t>
        </is>
      </c>
      <c r="B123" s="1" t="n">
        <v>45012</v>
      </c>
      <c r="C123" s="1" t="n">
        <v>46093</v>
      </c>
      <c r="D123" t="inlineStr">
        <is>
          <t>VÄSTMANLANDS LÄN</t>
        </is>
      </c>
      <c r="E123" t="inlineStr">
        <is>
          <t>SURAHAMMAR</t>
        </is>
      </c>
      <c r="F123" t="inlineStr">
        <is>
          <t>Bergvik skog väst AB</t>
        </is>
      </c>
      <c r="G123" t="n">
        <v>5</v>
      </c>
      <c r="H123" t="n">
        <v>0</v>
      </c>
      <c r="I123" t="n">
        <v>0</v>
      </c>
      <c r="J123" t="n">
        <v>0</v>
      </c>
      <c r="K123" t="n">
        <v>0</v>
      </c>
      <c r="L123" t="n">
        <v>0</v>
      </c>
      <c r="M123" t="n">
        <v>0</v>
      </c>
      <c r="N123" t="n">
        <v>0</v>
      </c>
      <c r="O123" t="n">
        <v>0</v>
      </c>
      <c r="P123" t="n">
        <v>0</v>
      </c>
      <c r="Q123" t="n">
        <v>0</v>
      </c>
      <c r="R123" s="2" t="inlineStr"/>
    </row>
    <row r="124" ht="15" customHeight="1">
      <c r="A124" t="inlineStr">
        <is>
          <t>A 8553-2023</t>
        </is>
      </c>
      <c r="B124" s="1" t="n">
        <v>44977</v>
      </c>
      <c r="C124" s="1" t="n">
        <v>46093</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2867-2024</t>
        </is>
      </c>
      <c r="B125" s="1" t="n">
        <v>45315</v>
      </c>
      <c r="C125" s="1" t="n">
        <v>46093</v>
      </c>
      <c r="D125" t="inlineStr">
        <is>
          <t>VÄSTMANLANDS LÄN</t>
        </is>
      </c>
      <c r="E125" t="inlineStr">
        <is>
          <t>SURAHAMMAR</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56378-2023</t>
        </is>
      </c>
      <c r="B126" s="1" t="n">
        <v>45236</v>
      </c>
      <c r="C126" s="1" t="n">
        <v>46093</v>
      </c>
      <c r="D126" t="inlineStr">
        <is>
          <t>VÄSTMANLANDS LÄN</t>
        </is>
      </c>
      <c r="E126" t="inlineStr">
        <is>
          <t>SURAHAMMAR</t>
        </is>
      </c>
      <c r="F126" t="inlineStr">
        <is>
          <t>Bergvik skog väst AB</t>
        </is>
      </c>
      <c r="G126" t="n">
        <v>4.6</v>
      </c>
      <c r="H126" t="n">
        <v>0</v>
      </c>
      <c r="I126" t="n">
        <v>0</v>
      </c>
      <c r="J126" t="n">
        <v>0</v>
      </c>
      <c r="K126" t="n">
        <v>0</v>
      </c>
      <c r="L126" t="n">
        <v>0</v>
      </c>
      <c r="M126" t="n">
        <v>0</v>
      </c>
      <c r="N126" t="n">
        <v>0</v>
      </c>
      <c r="O126" t="n">
        <v>0</v>
      </c>
      <c r="P126" t="n">
        <v>0</v>
      </c>
      <c r="Q126" t="n">
        <v>0</v>
      </c>
      <c r="R126" s="2" t="inlineStr"/>
    </row>
    <row r="127" ht="15" customHeight="1">
      <c r="A127" t="inlineStr">
        <is>
          <t>A 2660-2024</t>
        </is>
      </c>
      <c r="B127" s="1" t="n">
        <v>45310</v>
      </c>
      <c r="C127" s="1" t="n">
        <v>46093</v>
      </c>
      <c r="D127" t="inlineStr">
        <is>
          <t>VÄSTMANLANDS LÄN</t>
        </is>
      </c>
      <c r="E127" t="inlineStr">
        <is>
          <t>SURAHAMMAR</t>
        </is>
      </c>
      <c r="G127" t="n">
        <v>2.1</v>
      </c>
      <c r="H127" t="n">
        <v>0</v>
      </c>
      <c r="I127" t="n">
        <v>0</v>
      </c>
      <c r="J127" t="n">
        <v>0</v>
      </c>
      <c r="K127" t="n">
        <v>0</v>
      </c>
      <c r="L127" t="n">
        <v>0</v>
      </c>
      <c r="M127" t="n">
        <v>0</v>
      </c>
      <c r="N127" t="n">
        <v>0</v>
      </c>
      <c r="O127" t="n">
        <v>0</v>
      </c>
      <c r="P127" t="n">
        <v>0</v>
      </c>
      <c r="Q127" t="n">
        <v>0</v>
      </c>
      <c r="R127" s="2" t="inlineStr"/>
    </row>
    <row r="128" ht="15" customHeight="1">
      <c r="A128" t="inlineStr">
        <is>
          <t>A 11728-2023</t>
        </is>
      </c>
      <c r="B128" s="1" t="n">
        <v>44993</v>
      </c>
      <c r="C128" s="1" t="n">
        <v>46093</v>
      </c>
      <c r="D128" t="inlineStr">
        <is>
          <t>VÄSTMANLANDS LÄN</t>
        </is>
      </c>
      <c r="E128" t="inlineStr">
        <is>
          <t>SURAHAMMAR</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37013-2025</t>
        </is>
      </c>
      <c r="B129" s="1" t="n">
        <v>45874</v>
      </c>
      <c r="C129" s="1" t="n">
        <v>46093</v>
      </c>
      <c r="D129" t="inlineStr">
        <is>
          <t>VÄSTMANLANDS LÄN</t>
        </is>
      </c>
      <c r="E129" t="inlineStr">
        <is>
          <t>SURAHAMMAR</t>
        </is>
      </c>
      <c r="F129" t="inlineStr">
        <is>
          <t>Bergvik skog väst AB</t>
        </is>
      </c>
      <c r="G129" t="n">
        <v>10.7</v>
      </c>
      <c r="H129" t="n">
        <v>0</v>
      </c>
      <c r="I129" t="n">
        <v>0</v>
      </c>
      <c r="J129" t="n">
        <v>0</v>
      </c>
      <c r="K129" t="n">
        <v>0</v>
      </c>
      <c r="L129" t="n">
        <v>0</v>
      </c>
      <c r="M129" t="n">
        <v>0</v>
      </c>
      <c r="N129" t="n">
        <v>0</v>
      </c>
      <c r="O129" t="n">
        <v>0</v>
      </c>
      <c r="P129" t="n">
        <v>0</v>
      </c>
      <c r="Q129" t="n">
        <v>0</v>
      </c>
      <c r="R129" s="2" t="inlineStr"/>
    </row>
    <row r="130" ht="15" customHeight="1">
      <c r="A130" t="inlineStr">
        <is>
          <t>A 41555-2022</t>
        </is>
      </c>
      <c r="B130" s="1" t="n">
        <v>44826</v>
      </c>
      <c r="C130" s="1" t="n">
        <v>46093</v>
      </c>
      <c r="D130" t="inlineStr">
        <is>
          <t>VÄSTMANLANDS LÄN</t>
        </is>
      </c>
      <c r="E130" t="inlineStr">
        <is>
          <t>SURAHAMMAR</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11501-2023</t>
        </is>
      </c>
      <c r="B131" s="1" t="n">
        <v>44991</v>
      </c>
      <c r="C131" s="1" t="n">
        <v>46093</v>
      </c>
      <c r="D131" t="inlineStr">
        <is>
          <t>VÄSTMANLANDS LÄN</t>
        </is>
      </c>
      <c r="E131" t="inlineStr">
        <is>
          <t>SURAHAMMAR</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16013-2023</t>
        </is>
      </c>
      <c r="B132" s="1" t="n">
        <v>45026</v>
      </c>
      <c r="C132" s="1" t="n">
        <v>46093</v>
      </c>
      <c r="D132" t="inlineStr">
        <is>
          <t>VÄSTMANLANDS LÄN</t>
        </is>
      </c>
      <c r="E132" t="inlineStr">
        <is>
          <t>SURAHAMMAR</t>
        </is>
      </c>
      <c r="G132" t="n">
        <v>3.9</v>
      </c>
      <c r="H132" t="n">
        <v>0</v>
      </c>
      <c r="I132" t="n">
        <v>0</v>
      </c>
      <c r="J132" t="n">
        <v>0</v>
      </c>
      <c r="K132" t="n">
        <v>0</v>
      </c>
      <c r="L132" t="n">
        <v>0</v>
      </c>
      <c r="M132" t="n">
        <v>0</v>
      </c>
      <c r="N132" t="n">
        <v>0</v>
      </c>
      <c r="O132" t="n">
        <v>0</v>
      </c>
      <c r="P132" t="n">
        <v>0</v>
      </c>
      <c r="Q132" t="n">
        <v>0</v>
      </c>
      <c r="R132" s="2" t="inlineStr"/>
    </row>
    <row r="133" ht="15" customHeight="1">
      <c r="A133" t="inlineStr">
        <is>
          <t>A 5567-2022</t>
        </is>
      </c>
      <c r="B133" s="1" t="n">
        <v>44595</v>
      </c>
      <c r="C133" s="1" t="n">
        <v>46093</v>
      </c>
      <c r="D133" t="inlineStr">
        <is>
          <t>VÄSTMANLANDS LÄN</t>
        </is>
      </c>
      <c r="E133" t="inlineStr">
        <is>
          <t>SURAHAMMAR</t>
        </is>
      </c>
      <c r="G133" t="n">
        <v>1.3</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46093</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42829-2022</t>
        </is>
      </c>
      <c r="B135" s="1" t="n">
        <v>44832</v>
      </c>
      <c r="C135" s="1" t="n">
        <v>46093</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46093</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37954-2025</t>
        </is>
      </c>
      <c r="B137" s="1" t="n">
        <v>45881</v>
      </c>
      <c r="C137" s="1" t="n">
        <v>46093</v>
      </c>
      <c r="D137" t="inlineStr">
        <is>
          <t>VÄSTMANLANDS LÄN</t>
        </is>
      </c>
      <c r="E137" t="inlineStr">
        <is>
          <t>SURAHAMMAR</t>
        </is>
      </c>
      <c r="G137" t="n">
        <v>9.5</v>
      </c>
      <c r="H137" t="n">
        <v>0</v>
      </c>
      <c r="I137" t="n">
        <v>0</v>
      </c>
      <c r="J137" t="n">
        <v>0</v>
      </c>
      <c r="K137" t="n">
        <v>0</v>
      </c>
      <c r="L137" t="n">
        <v>0</v>
      </c>
      <c r="M137" t="n">
        <v>0</v>
      </c>
      <c r="N137" t="n">
        <v>0</v>
      </c>
      <c r="O137" t="n">
        <v>0</v>
      </c>
      <c r="P137" t="n">
        <v>0</v>
      </c>
      <c r="Q137" t="n">
        <v>0</v>
      </c>
      <c r="R137" s="2" t="inlineStr"/>
    </row>
    <row r="138" ht="15" customHeight="1">
      <c r="A138" t="inlineStr">
        <is>
          <t>A 3085-2023</t>
        </is>
      </c>
      <c r="B138" s="1" t="n">
        <v>44946</v>
      </c>
      <c r="C138" s="1" t="n">
        <v>46093</v>
      </c>
      <c r="D138" t="inlineStr">
        <is>
          <t>VÄSTMANLANDS LÄN</t>
        </is>
      </c>
      <c r="E138" t="inlineStr">
        <is>
          <t>SURAHAMMAR</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46093</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55868-2025</t>
        </is>
      </c>
      <c r="B140" s="1" t="n">
        <v>45973.35263888889</v>
      </c>
      <c r="C140" s="1" t="n">
        <v>46093</v>
      </c>
      <c r="D140" t="inlineStr">
        <is>
          <t>VÄSTMANLANDS LÄN</t>
        </is>
      </c>
      <c r="E140" t="inlineStr">
        <is>
          <t>SURAHAMMAR</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55874-2025</t>
        </is>
      </c>
      <c r="B141" s="1" t="n">
        <v>45973.3569212963</v>
      </c>
      <c r="C141" s="1" t="n">
        <v>46093</v>
      </c>
      <c r="D141" t="inlineStr">
        <is>
          <t>VÄSTMANLANDS LÄN</t>
        </is>
      </c>
      <c r="E141" t="inlineStr">
        <is>
          <t>SURAHAMMAR</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48205-2023</t>
        </is>
      </c>
      <c r="B142" s="1" t="n">
        <v>45205</v>
      </c>
      <c r="C142" s="1" t="n">
        <v>46093</v>
      </c>
      <c r="D142" t="inlineStr">
        <is>
          <t>VÄSTMANLANDS LÄN</t>
        </is>
      </c>
      <c r="E142" t="inlineStr">
        <is>
          <t>SURAHAMMAR</t>
        </is>
      </c>
      <c r="F142" t="inlineStr">
        <is>
          <t>Allmännings- och besparingsskogar</t>
        </is>
      </c>
      <c r="G142" t="n">
        <v>7.6</v>
      </c>
      <c r="H142" t="n">
        <v>0</v>
      </c>
      <c r="I142" t="n">
        <v>0</v>
      </c>
      <c r="J142" t="n">
        <v>0</v>
      </c>
      <c r="K142" t="n">
        <v>0</v>
      </c>
      <c r="L142" t="n">
        <v>0</v>
      </c>
      <c r="M142" t="n">
        <v>0</v>
      </c>
      <c r="N142" t="n">
        <v>0</v>
      </c>
      <c r="O142" t="n">
        <v>0</v>
      </c>
      <c r="P142" t="n">
        <v>0</v>
      </c>
      <c r="Q142" t="n">
        <v>0</v>
      </c>
      <c r="R142" s="2" t="inlineStr"/>
    </row>
    <row r="143" ht="15" customHeight="1">
      <c r="A143" t="inlineStr">
        <is>
          <t>A 55873-2025</t>
        </is>
      </c>
      <c r="B143" s="1" t="n">
        <v>45973.35608796297</v>
      </c>
      <c r="C143" s="1" t="n">
        <v>46093</v>
      </c>
      <c r="D143" t="inlineStr">
        <is>
          <t>VÄSTMANLANDS LÄN</t>
        </is>
      </c>
      <c r="E143" t="inlineStr">
        <is>
          <t>SURAHAMMAR</t>
        </is>
      </c>
      <c r="F143" t="inlineStr">
        <is>
          <t>Sveaskog</t>
        </is>
      </c>
      <c r="G143" t="n">
        <v>0.5</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46093</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56543-2025</t>
        </is>
      </c>
      <c r="B145" s="1" t="n">
        <v>45975</v>
      </c>
      <c r="C145" s="1" t="n">
        <v>46093</v>
      </c>
      <c r="D145" t="inlineStr">
        <is>
          <t>VÄSTMANLANDS LÄN</t>
        </is>
      </c>
      <c r="E145" t="inlineStr">
        <is>
          <t>SURAHAMMAR</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33931-2022</t>
        </is>
      </c>
      <c r="B146" s="1" t="n">
        <v>44790.65153935185</v>
      </c>
      <c r="C146" s="1" t="n">
        <v>46093</v>
      </c>
      <c r="D146" t="inlineStr">
        <is>
          <t>VÄSTMANLANDS LÄN</t>
        </is>
      </c>
      <c r="E146" t="inlineStr">
        <is>
          <t>SURAHAMMAR</t>
        </is>
      </c>
      <c r="G146" t="n">
        <v>2.2</v>
      </c>
      <c r="H146" t="n">
        <v>0</v>
      </c>
      <c r="I146" t="n">
        <v>0</v>
      </c>
      <c r="J146" t="n">
        <v>0</v>
      </c>
      <c r="K146" t="n">
        <v>0</v>
      </c>
      <c r="L146" t="n">
        <v>0</v>
      </c>
      <c r="M146" t="n">
        <v>0</v>
      </c>
      <c r="N146" t="n">
        <v>0</v>
      </c>
      <c r="O146" t="n">
        <v>0</v>
      </c>
      <c r="P146" t="n">
        <v>0</v>
      </c>
      <c r="Q146" t="n">
        <v>0</v>
      </c>
      <c r="R146" s="2" t="inlineStr"/>
    </row>
    <row r="147" ht="15" customHeight="1">
      <c r="A147" t="inlineStr">
        <is>
          <t>A 16608-2022</t>
        </is>
      </c>
      <c r="B147" s="1" t="n">
        <v>44672</v>
      </c>
      <c r="C147" s="1" t="n">
        <v>46093</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22662-2023</t>
        </is>
      </c>
      <c r="B148" s="1" t="n">
        <v>45071</v>
      </c>
      <c r="C148" s="1" t="n">
        <v>46093</v>
      </c>
      <c r="D148" t="inlineStr">
        <is>
          <t>VÄSTMANLANDS LÄN</t>
        </is>
      </c>
      <c r="E148" t="inlineStr">
        <is>
          <t>SURAHAMMAR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15743-2023</t>
        </is>
      </c>
      <c r="B149" s="1" t="n">
        <v>45021</v>
      </c>
      <c r="C149" s="1" t="n">
        <v>46093</v>
      </c>
      <c r="D149" t="inlineStr">
        <is>
          <t>VÄSTMANLANDS LÄN</t>
        </is>
      </c>
      <c r="E149" t="inlineStr">
        <is>
          <t>SURAHAMMAR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59399-2025</t>
        </is>
      </c>
      <c r="B150" s="1" t="n">
        <v>45989</v>
      </c>
      <c r="C150" s="1" t="n">
        <v>46093</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30076-2023</t>
        </is>
      </c>
      <c r="B151" s="1" t="n">
        <v>45110</v>
      </c>
      <c r="C151" s="1" t="n">
        <v>46093</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56541-2025</t>
        </is>
      </c>
      <c r="B152" s="1" t="n">
        <v>45975</v>
      </c>
      <c r="C152" s="1" t="n">
        <v>46093</v>
      </c>
      <c r="D152" t="inlineStr">
        <is>
          <t>VÄSTMANLANDS LÄN</t>
        </is>
      </c>
      <c r="E152" t="inlineStr">
        <is>
          <t>SURAHAMMAR</t>
        </is>
      </c>
      <c r="F152" t="inlineStr">
        <is>
          <t>Sveaskog</t>
        </is>
      </c>
      <c r="G152" t="n">
        <v>7.6</v>
      </c>
      <c r="H152" t="n">
        <v>0</v>
      </c>
      <c r="I152" t="n">
        <v>0</v>
      </c>
      <c r="J152" t="n">
        <v>0</v>
      </c>
      <c r="K152" t="n">
        <v>0</v>
      </c>
      <c r="L152" t="n">
        <v>0</v>
      </c>
      <c r="M152" t="n">
        <v>0</v>
      </c>
      <c r="N152" t="n">
        <v>0</v>
      </c>
      <c r="O152" t="n">
        <v>0</v>
      </c>
      <c r="P152" t="n">
        <v>0</v>
      </c>
      <c r="Q152" t="n">
        <v>0</v>
      </c>
      <c r="R152" s="2" t="inlineStr"/>
    </row>
    <row r="153" ht="15" customHeight="1">
      <c r="A153" t="inlineStr">
        <is>
          <t>A 15637-2022</t>
        </is>
      </c>
      <c r="B153" s="1" t="n">
        <v>44662.89638888889</v>
      </c>
      <c r="C153" s="1" t="n">
        <v>46093</v>
      </c>
      <c r="D153" t="inlineStr">
        <is>
          <t>VÄSTMANLANDS LÄN</t>
        </is>
      </c>
      <c r="E153" t="inlineStr">
        <is>
          <t>SURAHAMMAR</t>
        </is>
      </c>
      <c r="G153" t="n">
        <v>2.2</v>
      </c>
      <c r="H153" t="n">
        <v>0</v>
      </c>
      <c r="I153" t="n">
        <v>0</v>
      </c>
      <c r="J153" t="n">
        <v>0</v>
      </c>
      <c r="K153" t="n">
        <v>0</v>
      </c>
      <c r="L153" t="n">
        <v>0</v>
      </c>
      <c r="M153" t="n">
        <v>0</v>
      </c>
      <c r="N153" t="n">
        <v>0</v>
      </c>
      <c r="O153" t="n">
        <v>0</v>
      </c>
      <c r="P153" t="n">
        <v>0</v>
      </c>
      <c r="Q153" t="n">
        <v>0</v>
      </c>
      <c r="R153" s="2" t="inlineStr"/>
    </row>
    <row r="154" ht="15" customHeight="1">
      <c r="A154" t="inlineStr">
        <is>
          <t>A 19786-2023</t>
        </is>
      </c>
      <c r="B154" s="1" t="n">
        <v>45050</v>
      </c>
      <c r="C154" s="1" t="n">
        <v>46093</v>
      </c>
      <c r="D154" t="inlineStr">
        <is>
          <t>VÄSTMANLANDS LÄN</t>
        </is>
      </c>
      <c r="E154" t="inlineStr">
        <is>
          <t>SURAHAMMAR</t>
        </is>
      </c>
      <c r="F154" t="inlineStr">
        <is>
          <t>Bergvik skog väst AB</t>
        </is>
      </c>
      <c r="G154" t="n">
        <v>8.1</v>
      </c>
      <c r="H154" t="n">
        <v>0</v>
      </c>
      <c r="I154" t="n">
        <v>0</v>
      </c>
      <c r="J154" t="n">
        <v>0</v>
      </c>
      <c r="K154" t="n">
        <v>0</v>
      </c>
      <c r="L154" t="n">
        <v>0</v>
      </c>
      <c r="M154" t="n">
        <v>0</v>
      </c>
      <c r="N154" t="n">
        <v>0</v>
      </c>
      <c r="O154" t="n">
        <v>0</v>
      </c>
      <c r="P154" t="n">
        <v>0</v>
      </c>
      <c r="Q154" t="n">
        <v>0</v>
      </c>
      <c r="R154" s="2" t="inlineStr"/>
    </row>
    <row r="155" ht="15" customHeight="1">
      <c r="A155" t="inlineStr">
        <is>
          <t>A 63138-2025</t>
        </is>
      </c>
      <c r="B155" s="1" t="n">
        <v>46009</v>
      </c>
      <c r="C155" s="1" t="n">
        <v>46093</v>
      </c>
      <c r="D155" t="inlineStr">
        <is>
          <t>VÄSTMANLANDS LÄN</t>
        </is>
      </c>
      <c r="E155" t="inlineStr">
        <is>
          <t>SURAHAMMAR</t>
        </is>
      </c>
      <c r="F155" t="inlineStr">
        <is>
          <t>Bergvik skog väst AB</t>
        </is>
      </c>
      <c r="G155" t="n">
        <v>2.5</v>
      </c>
      <c r="H155" t="n">
        <v>0</v>
      </c>
      <c r="I155" t="n">
        <v>0</v>
      </c>
      <c r="J155" t="n">
        <v>0</v>
      </c>
      <c r="K155" t="n">
        <v>0</v>
      </c>
      <c r="L155" t="n">
        <v>0</v>
      </c>
      <c r="M155" t="n">
        <v>0</v>
      </c>
      <c r="N155" t="n">
        <v>0</v>
      </c>
      <c r="O155" t="n">
        <v>0</v>
      </c>
      <c r="P155" t="n">
        <v>0</v>
      </c>
      <c r="Q155" t="n">
        <v>0</v>
      </c>
      <c r="R155" s="2" t="inlineStr"/>
    </row>
    <row r="156" ht="15" customHeight="1">
      <c r="A156" t="inlineStr">
        <is>
          <t>A 5697-2026</t>
        </is>
      </c>
      <c r="B156" s="1" t="n">
        <v>46051.50020833333</v>
      </c>
      <c r="C156" s="1" t="n">
        <v>46093</v>
      </c>
      <c r="D156" t="inlineStr">
        <is>
          <t>VÄSTMANLANDS LÄN</t>
        </is>
      </c>
      <c r="E156" t="inlineStr">
        <is>
          <t>SURAHAMMAR</t>
        </is>
      </c>
      <c r="F156" t="inlineStr">
        <is>
          <t>Sveaskog</t>
        </is>
      </c>
      <c r="G156" t="n">
        <v>3</v>
      </c>
      <c r="H156" t="n">
        <v>0</v>
      </c>
      <c r="I156" t="n">
        <v>0</v>
      </c>
      <c r="J156" t="n">
        <v>0</v>
      </c>
      <c r="K156" t="n">
        <v>0</v>
      </c>
      <c r="L156" t="n">
        <v>0</v>
      </c>
      <c r="M156" t="n">
        <v>0</v>
      </c>
      <c r="N156" t="n">
        <v>0</v>
      </c>
      <c r="O156" t="n">
        <v>0</v>
      </c>
      <c r="P156" t="n">
        <v>0</v>
      </c>
      <c r="Q156" t="n">
        <v>0</v>
      </c>
      <c r="R156" s="2" t="inlineStr"/>
    </row>
    <row r="157" ht="15" customHeight="1">
      <c r="A157" t="inlineStr">
        <is>
          <t>A 5698-2026</t>
        </is>
      </c>
      <c r="B157" s="1" t="n">
        <v>46051.50196759259</v>
      </c>
      <c r="C157" s="1" t="n">
        <v>46093</v>
      </c>
      <c r="D157" t="inlineStr">
        <is>
          <t>VÄSTMANLANDS LÄN</t>
        </is>
      </c>
      <c r="E157" t="inlineStr">
        <is>
          <t>SURAHAMMAR</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5696-2026</t>
        </is>
      </c>
      <c r="B158" s="1" t="n">
        <v>46051.4975</v>
      </c>
      <c r="C158" s="1" t="n">
        <v>46093</v>
      </c>
      <c r="D158" t="inlineStr">
        <is>
          <t>VÄSTMANLANDS LÄN</t>
        </is>
      </c>
      <c r="E158" t="inlineStr">
        <is>
          <t>SURAHAMMAR</t>
        </is>
      </c>
      <c r="F158" t="inlineStr">
        <is>
          <t>Sveaskog</t>
        </is>
      </c>
      <c r="G158" t="n">
        <v>10.4</v>
      </c>
      <c r="H158" t="n">
        <v>0</v>
      </c>
      <c r="I158" t="n">
        <v>0</v>
      </c>
      <c r="J158" t="n">
        <v>0</v>
      </c>
      <c r="K158" t="n">
        <v>0</v>
      </c>
      <c r="L158" t="n">
        <v>0</v>
      </c>
      <c r="M158" t="n">
        <v>0</v>
      </c>
      <c r="N158" t="n">
        <v>0</v>
      </c>
      <c r="O158" t="n">
        <v>0</v>
      </c>
      <c r="P158" t="n">
        <v>0</v>
      </c>
      <c r="Q158" t="n">
        <v>0</v>
      </c>
      <c r="R158" s="2" t="inlineStr"/>
    </row>
    <row r="159" ht="15" customHeight="1">
      <c r="A159" t="inlineStr">
        <is>
          <t>A 7787-2024</t>
        </is>
      </c>
      <c r="B159" s="1" t="n">
        <v>45348</v>
      </c>
      <c r="C159" s="1" t="n">
        <v>46093</v>
      </c>
      <c r="D159" t="inlineStr">
        <is>
          <t>VÄSTMANLANDS LÄN</t>
        </is>
      </c>
      <c r="E159" t="inlineStr">
        <is>
          <t>SURAHAMMAR</t>
        </is>
      </c>
      <c r="G159" t="n">
        <v>1</v>
      </c>
      <c r="H159" t="n">
        <v>0</v>
      </c>
      <c r="I159" t="n">
        <v>0</v>
      </c>
      <c r="J159" t="n">
        <v>0</v>
      </c>
      <c r="K159" t="n">
        <v>0</v>
      </c>
      <c r="L159" t="n">
        <v>0</v>
      </c>
      <c r="M159" t="n">
        <v>0</v>
      </c>
      <c r="N159" t="n">
        <v>0</v>
      </c>
      <c r="O159" t="n">
        <v>0</v>
      </c>
      <c r="P159" t="n">
        <v>0</v>
      </c>
      <c r="Q159" t="n">
        <v>0</v>
      </c>
      <c r="R159" s="2" t="inlineStr"/>
    </row>
    <row r="160" ht="15" customHeight="1">
      <c r="A160" t="inlineStr">
        <is>
          <t>A 10244-2026</t>
        </is>
      </c>
      <c r="B160" s="1" t="n">
        <v>46076.55032407407</v>
      </c>
      <c r="C160" s="1" t="n">
        <v>46093</v>
      </c>
      <c r="D160" t="inlineStr">
        <is>
          <t>VÄSTMANLANDS LÄN</t>
        </is>
      </c>
      <c r="E160" t="inlineStr">
        <is>
          <t>SURAHAMMAR</t>
        </is>
      </c>
      <c r="F160" t="inlineStr">
        <is>
          <t>Allmännings- och besparingsskogar</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10249-2026</t>
        </is>
      </c>
      <c r="B161" s="1" t="n">
        <v>46076.55456018518</v>
      </c>
      <c r="C161" s="1" t="n">
        <v>46093</v>
      </c>
      <c r="D161" t="inlineStr">
        <is>
          <t>VÄSTMANLANDS LÄN</t>
        </is>
      </c>
      <c r="E161" t="inlineStr">
        <is>
          <t>SURAHAMMAR</t>
        </is>
      </c>
      <c r="F161" t="inlineStr">
        <is>
          <t>Allmännings- och besparingsskogar</t>
        </is>
      </c>
      <c r="G161" t="n">
        <v>4.8</v>
      </c>
      <c r="H161" t="n">
        <v>0</v>
      </c>
      <c r="I161" t="n">
        <v>0</v>
      </c>
      <c r="J161" t="n">
        <v>0</v>
      </c>
      <c r="K161" t="n">
        <v>0</v>
      </c>
      <c r="L161" t="n">
        <v>0</v>
      </c>
      <c r="M161" t="n">
        <v>0</v>
      </c>
      <c r="N161" t="n">
        <v>0</v>
      </c>
      <c r="O161" t="n">
        <v>0</v>
      </c>
      <c r="P161" t="n">
        <v>0</v>
      </c>
      <c r="Q161" t="n">
        <v>0</v>
      </c>
      <c r="R161" s="2" t="inlineStr"/>
    </row>
    <row r="162" ht="15" customHeight="1">
      <c r="A162" t="inlineStr">
        <is>
          <t>A 10512-2026</t>
        </is>
      </c>
      <c r="B162" s="1" t="n">
        <v>46077.56861111111</v>
      </c>
      <c r="C162" s="1" t="n">
        <v>46093</v>
      </c>
      <c r="D162" t="inlineStr">
        <is>
          <t>VÄSTMANLANDS LÄN</t>
        </is>
      </c>
      <c r="E162" t="inlineStr">
        <is>
          <t>SURAHAMMAR</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10562-2026</t>
        </is>
      </c>
      <c r="B163" s="1" t="n">
        <v>46077.64043981482</v>
      </c>
      <c r="C163" s="1" t="n">
        <v>46093</v>
      </c>
      <c r="D163" t="inlineStr">
        <is>
          <t>VÄSTMANLANDS LÄN</t>
        </is>
      </c>
      <c r="E163" t="inlineStr">
        <is>
          <t>SURAHAMMAR</t>
        </is>
      </c>
      <c r="F163" t="inlineStr">
        <is>
          <t>Övriga Aktiebolag</t>
        </is>
      </c>
      <c r="G163" t="n">
        <v>2.3</v>
      </c>
      <c r="H163" t="n">
        <v>0</v>
      </c>
      <c r="I163" t="n">
        <v>0</v>
      </c>
      <c r="J163" t="n">
        <v>0</v>
      </c>
      <c r="K163" t="n">
        <v>0</v>
      </c>
      <c r="L163" t="n">
        <v>0</v>
      </c>
      <c r="M163" t="n">
        <v>0</v>
      </c>
      <c r="N163" t="n">
        <v>0</v>
      </c>
      <c r="O163" t="n">
        <v>0</v>
      </c>
      <c r="P163" t="n">
        <v>0</v>
      </c>
      <c r="Q163" t="n">
        <v>0</v>
      </c>
      <c r="R163" s="2" t="inlineStr"/>
    </row>
    <row r="164" ht="15" customHeight="1">
      <c r="A164" t="inlineStr">
        <is>
          <t>A 15739-2023</t>
        </is>
      </c>
      <c r="B164" s="1" t="n">
        <v>45021</v>
      </c>
      <c r="C164" s="1" t="n">
        <v>46093</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44405.42373842592</v>
      </c>
      <c r="C165" s="1" t="n">
        <v>46093</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10347-2026</t>
        </is>
      </c>
      <c r="B166" s="1" t="n">
        <v>46076.69101851852</v>
      </c>
      <c r="C166" s="1" t="n">
        <v>46093</v>
      </c>
      <c r="D166" t="inlineStr">
        <is>
          <t>VÄSTMANLANDS LÄN</t>
        </is>
      </c>
      <c r="E166" t="inlineStr">
        <is>
          <t>SURAHAMMAR</t>
        </is>
      </c>
      <c r="F166" t="inlineStr">
        <is>
          <t>Allmännings- och besparingsskogar</t>
        </is>
      </c>
      <c r="G166" t="n">
        <v>3</v>
      </c>
      <c r="H166" t="n">
        <v>0</v>
      </c>
      <c r="I166" t="n">
        <v>0</v>
      </c>
      <c r="J166" t="n">
        <v>0</v>
      </c>
      <c r="K166" t="n">
        <v>0</v>
      </c>
      <c r="L166" t="n">
        <v>0</v>
      </c>
      <c r="M166" t="n">
        <v>0</v>
      </c>
      <c r="N166" t="n">
        <v>0</v>
      </c>
      <c r="O166" t="n">
        <v>0</v>
      </c>
      <c r="P166" t="n">
        <v>0</v>
      </c>
      <c r="Q166" t="n">
        <v>0</v>
      </c>
      <c r="R166" s="2" t="inlineStr"/>
    </row>
    <row r="167" ht="15" customHeight="1">
      <c r="A167" t="inlineStr">
        <is>
          <t>A 4724-2026</t>
        </is>
      </c>
      <c r="B167" s="1" t="n">
        <v>46048</v>
      </c>
      <c r="C167" s="1" t="n">
        <v>46093</v>
      </c>
      <c r="D167" t="inlineStr">
        <is>
          <t>VÄSTMANLANDS LÄN</t>
        </is>
      </c>
      <c r="E167" t="inlineStr">
        <is>
          <t>SURAHAMMAR</t>
        </is>
      </c>
      <c r="G167" t="n">
        <v>1.7</v>
      </c>
      <c r="H167" t="n">
        <v>0</v>
      </c>
      <c r="I167" t="n">
        <v>0</v>
      </c>
      <c r="J167" t="n">
        <v>0</v>
      </c>
      <c r="K167" t="n">
        <v>0</v>
      </c>
      <c r="L167" t="n">
        <v>0</v>
      </c>
      <c r="M167" t="n">
        <v>0</v>
      </c>
      <c r="N167" t="n">
        <v>0</v>
      </c>
      <c r="O167" t="n">
        <v>0</v>
      </c>
      <c r="P167" t="n">
        <v>0</v>
      </c>
      <c r="Q167" t="n">
        <v>0</v>
      </c>
      <c r="R167" s="2" t="inlineStr"/>
    </row>
    <row r="168" ht="15" customHeight="1">
      <c r="A168" t="inlineStr">
        <is>
          <t>A 4734-2026</t>
        </is>
      </c>
      <c r="B168" s="1" t="n">
        <v>46048</v>
      </c>
      <c r="C168" s="1" t="n">
        <v>46093</v>
      </c>
      <c r="D168" t="inlineStr">
        <is>
          <t>VÄSTMANLANDS LÄN</t>
        </is>
      </c>
      <c r="E168" t="inlineStr">
        <is>
          <t>SURAHAMMAR</t>
        </is>
      </c>
      <c r="G168" t="n">
        <v>0.7</v>
      </c>
      <c r="H168" t="n">
        <v>0</v>
      </c>
      <c r="I168" t="n">
        <v>0</v>
      </c>
      <c r="J168" t="n">
        <v>0</v>
      </c>
      <c r="K168" t="n">
        <v>0</v>
      </c>
      <c r="L168" t="n">
        <v>0</v>
      </c>
      <c r="M168" t="n">
        <v>0</v>
      </c>
      <c r="N168" t="n">
        <v>0</v>
      </c>
      <c r="O168" t="n">
        <v>0</v>
      </c>
      <c r="P168" t="n">
        <v>0</v>
      </c>
      <c r="Q168" t="n">
        <v>0</v>
      </c>
      <c r="R168" s="2" t="inlineStr"/>
    </row>
    <row r="169">
      <c r="A169" t="inlineStr">
        <is>
          <t>A 12841-2026</t>
        </is>
      </c>
      <c r="B169" s="1" t="n">
        <v>46091</v>
      </c>
      <c r="C169" s="1" t="n">
        <v>46093</v>
      </c>
      <c r="D169" t="inlineStr">
        <is>
          <t>VÄSTMANLANDS LÄN</t>
        </is>
      </c>
      <c r="E169" t="inlineStr">
        <is>
          <t>SURAHAMMAR</t>
        </is>
      </c>
      <c r="F169" t="inlineStr">
        <is>
          <t>Bergvik skog väst AB</t>
        </is>
      </c>
      <c r="G169" t="n">
        <v>4.3</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2026-03-12T11:14:24Z</dcterms:created>
  <dcterms:modified xmlns:dcterms="http://purl.org/dc/terms/" xmlns:xsi="http://www.w3.org/2001/XMLSchema-instance" xsi:type="dcterms:W3CDTF">2026-03-12T11:14:25Z</dcterms:modified>
</cp:coreProperties>
</file>