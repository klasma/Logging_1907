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46239</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229</v>
      </c>
      <c r="U5" t="n">
        <v>93</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A 32212-2026</t>
        </is>
      </c>
      <c r="B11" t="inlineStr">
        <is>
          <t>avverkningsanmälan</t>
        </is>
      </c>
      <c r="C11" t="inlineStr">
        <is>
          <t>Föryngringsavverkning</t>
        </is>
      </c>
      <c r="D11" s="1" t="n">
        <v>46237</v>
      </c>
      <c r="E11" s="1" t="n">
        <v>46239</v>
      </c>
      <c r="F11" t="inlineStr">
        <is>
          <t>VÄSTMANLANDS LÄN</t>
        </is>
      </c>
      <c r="G11" t="inlineStr">
        <is>
          <t>SURAHAMMAR</t>
        </is>
      </c>
      <c r="H11" t="inlineStr">
        <is>
          <t>Allmännings- och besparingsskogar</t>
        </is>
      </c>
      <c r="I11" t="n">
        <v>9.6</v>
      </c>
      <c r="J11" t="n">
        <v>14</v>
      </c>
      <c r="K11" t="n">
        <v>0</v>
      </c>
      <c r="L11" t="n">
        <v>4</v>
      </c>
      <c r="M11" t="n">
        <v>0</v>
      </c>
      <c r="N11" t="n">
        <v>1</v>
      </c>
      <c r="O11" t="n">
        <v>0</v>
      </c>
      <c r="P11" t="n">
        <v>0</v>
      </c>
      <c r="Q11" t="n">
        <v>5</v>
      </c>
      <c r="R11" t="n">
        <v>1</v>
      </c>
      <c r="S11" t="n">
        <v>14</v>
      </c>
      <c r="T11" t="n">
        <v>15</v>
      </c>
      <c r="U11" t="n">
        <v>0</v>
      </c>
      <c r="V11" s="2" t="inlineStr">
        <is>
          <t>Pärluggla
Björktrast
Kungsörn
Nötkråka
Tretåig hackspett
Järpe
Nattskärra
Spillkråka
Tjäder
Buskskvätta
Fiskgjuse
Havsörn
Orre
Trädlärka</t>
        </is>
      </c>
      <c r="W11">
        <f>HYPERLINK("https://klasma.github.io/Logging_1907/artfynd/A 32212-2026 artfynd.xlsx", "A 32212-2026")</f>
        <v/>
      </c>
      <c r="X11">
        <f>HYPERLINK("https://klasma.github.io/Logging_1907/kartor/A 32212-2026 karta.png", "A 32212-2026")</f>
        <v/>
      </c>
      <c r="Y11">
        <f>HYPERLINK("https://klasma.github.io/Logging_1907/kartor_geotiff/A 32212-2026 georefererad karta.tif", "A 32212-2026")</f>
        <v/>
      </c>
      <c r="AA11">
        <f>HYPERLINK("https://klasma.github.io/Logging_1907/klagomål/A 32212-2026 FSC-klagomål.docx", "A 32212-2026")</f>
        <v/>
      </c>
      <c r="AB11">
        <f>HYPERLINK("https://klasma.github.io/Logging_1907/klagomålsmail/A 32212-2026 FSC-klagomål mail.docx", "A 32212-2026")</f>
        <v/>
      </c>
      <c r="AC11">
        <f>HYPERLINK("https://klasma.github.io/Logging_1907/tillsyn/A 32212-2026 tillsynsbegäran.docx", "A 32212-2026")</f>
        <v/>
      </c>
      <c r="AD11">
        <f>HYPERLINK("https://klasma.github.io/Logging_1907/tillsynsmail/A 32212-2026 tillsynsbegäran mail.docx", "A 32212-2026")</f>
        <v/>
      </c>
      <c r="AE11">
        <f>HYPERLINK("https://klasma.github.io/Logging_1907/fåglar/A 32212-2026 prioriterade fågelarter.docx", "A 32212-2026")</f>
        <v/>
      </c>
    </row>
    <row r="12" ht="15" customHeight="1">
      <c r="A12" t="inlineStr">
        <is>
          <t>S 1051-2022</t>
        </is>
      </c>
      <c r="B12" t="inlineStr">
        <is>
          <t>samrådsanmälan</t>
        </is>
      </c>
      <c r="C12" t="inlineStr">
        <is>
          <t>Annan skogsbruksåtgärd</t>
        </is>
      </c>
      <c r="D12" s="1" t="n">
        <v>44613</v>
      </c>
      <c r="E12" s="1" t="n">
        <v>46239</v>
      </c>
      <c r="F12" t="inlineStr">
        <is>
          <t>VÄSTMANLANDS LÄN</t>
        </is>
      </c>
      <c r="G12" t="inlineStr">
        <is>
          <t>SURAHAMMAR</t>
        </is>
      </c>
      <c r="H12" t="inlineStr">
        <is>
          <t>Bergvik skog väst AB</t>
        </is>
      </c>
      <c r="I12" t="n">
        <v>12.3</v>
      </c>
      <c r="J12" t="n">
        <v>1</v>
      </c>
      <c r="K12" t="n">
        <v>3</v>
      </c>
      <c r="L12" t="n">
        <v>9</v>
      </c>
      <c r="M12" t="n">
        <v>2</v>
      </c>
      <c r="N12" t="n">
        <v>0</v>
      </c>
      <c r="O12" t="n">
        <v>0</v>
      </c>
      <c r="P12" t="n">
        <v>0</v>
      </c>
      <c r="Q12" t="n">
        <v>11</v>
      </c>
      <c r="R12" t="n">
        <v>2</v>
      </c>
      <c r="S12" t="n">
        <v>14</v>
      </c>
      <c r="T12" t="n">
        <v>53</v>
      </c>
      <c r="U12" t="n">
        <v>1</v>
      </c>
      <c r="V12" s="2" t="inlineStr">
        <is>
          <t>Garnlav
Skrovlig taggsvamp
Blå taggsvamp
Dropptaggsvamp
Grantaggsvamp
Hängticka
Motaggsvamp
Orange taggsvamp
Sotvaxskivling
Svartvit taggsvamp
Vedskivlav
Blåmossa
Plattlummer
Vedticka</t>
        </is>
      </c>
      <c r="W12">
        <f>HYPERLINK("https://klasma.github.io/Logging_1907/artfynd/S 1051-2022 artfynd.xlsx", "S 1051-2022")</f>
        <v/>
      </c>
      <c r="X12">
        <f>HYPERLINK("https://klasma.github.io/Logging_1907/kartor/S 1051-2022 karta.png", "S 1051-2022")</f>
        <v/>
      </c>
      <c r="Y12">
        <f>HYPERLINK("https://klasma.github.io/Logging_1907/kartor_geotiff/S 1051-2022 georefererad karta.tif", "S 1051-2022")</f>
        <v/>
      </c>
      <c r="AA12">
        <f>HYPERLINK("https://klasma.github.io/Logging_1907/klagomål/S 1051-2022 FSC-klagomål.docx", "S 1051-2022")</f>
        <v/>
      </c>
      <c r="AB12">
        <f>HYPERLINK("https://klasma.github.io/Logging_1907/klagomålsmail/S 1051-2022 FSC-klagomål mail.docx", "S 1051-2022")</f>
        <v/>
      </c>
      <c r="AC12">
        <f>HYPERLINK("https://klasma.github.io/Logging_1907/tillsyn/S 1051-2022 tillsynsbegäran.docx", "S 1051-2022")</f>
        <v/>
      </c>
      <c r="AD12">
        <f>HYPERLINK("https://klasma.github.io/Logging_1907/tillsynsmail/S 1051-2022 tillsynsbegäran mail.docx", "S 1051-2022")</f>
        <v/>
      </c>
    </row>
    <row r="13" ht="15" customHeight="1">
      <c r="A13" t="inlineStr">
        <is>
          <t>A 20389-2024</t>
        </is>
      </c>
      <c r="B13" t="inlineStr">
        <is>
          <t>avverkningsanmälan</t>
        </is>
      </c>
      <c r="C13" t="inlineStr">
        <is>
          <t>Föryngringsavverkning</t>
        </is>
      </c>
      <c r="D13" s="1" t="n">
        <v>45435</v>
      </c>
      <c r="E13" s="1" t="n">
        <v>46239</v>
      </c>
      <c r="F13" t="inlineStr">
        <is>
          <t>VÄSTMANLANDS LÄN</t>
        </is>
      </c>
      <c r="G13" t="inlineStr">
        <is>
          <t>SURAHAMMAR</t>
        </is>
      </c>
      <c r="I13" t="n">
        <v>1.5</v>
      </c>
      <c r="J13" t="n">
        <v>3</v>
      </c>
      <c r="K13" t="n">
        <v>7</v>
      </c>
      <c r="L13" t="n">
        <v>4</v>
      </c>
      <c r="M13" t="n">
        <v>1</v>
      </c>
      <c r="N13" t="n">
        <v>0</v>
      </c>
      <c r="O13" t="n">
        <v>0</v>
      </c>
      <c r="P13" t="n">
        <v>0</v>
      </c>
      <c r="Q13" t="n">
        <v>5</v>
      </c>
      <c r="R13" t="n">
        <v>1</v>
      </c>
      <c r="S13" t="n">
        <v>13</v>
      </c>
      <c r="T13" t="n">
        <v>32</v>
      </c>
      <c r="U13" t="n">
        <v>29</v>
      </c>
      <c r="V13" s="2" t="inlineStr">
        <is>
          <t>Knärot
Gropticka
Kattfotslav
Ullticka
Vedtrappmossa
Blomkålssvamp
Bollvitmossa
Bronshjon
Grön sköldmossa
Rödgul trumpetsvamp
Vedticka
Vågbandad barkbock
Havsörn</t>
        </is>
      </c>
      <c r="W13">
        <f>HYPERLINK("https://klasma.github.io/Logging_1907/artfynd/A 20389-2024 artfynd.xlsx", "A 20389-2024")</f>
        <v/>
      </c>
      <c r="X13">
        <f>HYPERLINK("https://klasma.github.io/Logging_1907/kartor/A 20389-2024 karta.png", "A 20389-2024")</f>
        <v/>
      </c>
      <c r="Y13">
        <f>HYPERLINK("https://klasma.github.io/Logging_1907/kartor_geotiff/A 20389-2024 georefererad karta.tif", "A 20389-2024")</f>
        <v/>
      </c>
      <c r="Z13">
        <f>HYPERLINK("https://klasma.github.io/Logging_1907/knärot/A 20389-2024 karta knärot.png", "A 20389-2024")</f>
        <v/>
      </c>
      <c r="AA13">
        <f>HYPERLINK("https://klasma.github.io/Logging_1907/klagomål/A 20389-2024 FSC-klagomål.docx", "A 20389-2024")</f>
        <v/>
      </c>
      <c r="AB13">
        <f>HYPERLINK("https://klasma.github.io/Logging_1907/klagomålsmail/A 20389-2024 FSC-klagomål mail.docx", "A 20389-2024")</f>
        <v/>
      </c>
      <c r="AC13">
        <f>HYPERLINK("https://klasma.github.io/Logging_1907/tillsyn/A 20389-2024 tillsynsbegäran.docx", "A 20389-2024")</f>
        <v/>
      </c>
      <c r="AD13">
        <f>HYPERLINK("https://klasma.github.io/Logging_1907/tillsynsmail/A 20389-2024 tillsynsbegäran mail.docx", "A 20389-2024")</f>
        <v/>
      </c>
      <c r="AE13">
        <f>HYPERLINK("https://klasma.github.io/Logging_1907/fåglar/A 20389-2024 prioriterade fågelarter.docx", "A 20389-2024")</f>
        <v/>
      </c>
    </row>
    <row r="14" ht="15" customHeight="1">
      <c r="A14" t="inlineStr">
        <is>
          <t>S 610-2026</t>
        </is>
      </c>
      <c r="B14" t="inlineStr">
        <is>
          <t>samrådsanmälan</t>
        </is>
      </c>
      <c r="C14" t="inlineStr">
        <is>
          <t>Skogsgödsling</t>
        </is>
      </c>
      <c r="D14" s="1" t="n">
        <v>46085</v>
      </c>
      <c r="E14" s="1" t="n">
        <v>46239</v>
      </c>
      <c r="F14" t="inlineStr">
        <is>
          <t>VÄSTMANLANDS LÄN</t>
        </is>
      </c>
      <c r="G14" t="inlineStr">
        <is>
          <t>SURAHAMMAR</t>
        </is>
      </c>
      <c r="H14" t="inlineStr">
        <is>
          <t>Bergvik skog väst AB</t>
        </is>
      </c>
      <c r="I14" t="n">
        <v>74.90000000000001</v>
      </c>
      <c r="J14" t="n">
        <v>6</v>
      </c>
      <c r="K14" t="n">
        <v>2</v>
      </c>
      <c r="L14" t="n">
        <v>6</v>
      </c>
      <c r="M14" t="n">
        <v>1</v>
      </c>
      <c r="N14" t="n">
        <v>0</v>
      </c>
      <c r="O14" t="n">
        <v>0</v>
      </c>
      <c r="P14" t="n">
        <v>0</v>
      </c>
      <c r="Q14" t="n">
        <v>7</v>
      </c>
      <c r="R14" t="n">
        <v>1</v>
      </c>
      <c r="S14" t="n">
        <v>13</v>
      </c>
      <c r="T14" t="n">
        <v>36</v>
      </c>
      <c r="U14" t="n">
        <v>3</v>
      </c>
      <c r="V14" s="2" t="inlineStr">
        <is>
          <t>Brunfläckig pärlemorfjäril
Berggräsfjäril
Brunklöver
Motaggsvamp
Scharlakansvaxing
Svinrot
Talltita
Mindre märgborre
Plattlummer
Mattlummer
Tjäder
Buskmus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S 920-2026</t>
        </is>
      </c>
      <c r="B15" t="inlineStr">
        <is>
          <t>samrådsanmälan</t>
        </is>
      </c>
      <c r="C15" t="inlineStr">
        <is>
          <t>Skogsgödsling</t>
        </is>
      </c>
      <c r="D15" s="1" t="n">
        <v>46111</v>
      </c>
      <c r="E15" s="1" t="n">
        <v>46239</v>
      </c>
      <c r="F15" t="inlineStr">
        <is>
          <t>VÄSTMANLANDS LÄN</t>
        </is>
      </c>
      <c r="G15" t="inlineStr">
        <is>
          <t>SURAHAMMAR</t>
        </is>
      </c>
      <c r="H15" t="inlineStr">
        <is>
          <t>Allmännings- och besparingsskogar</t>
        </is>
      </c>
      <c r="I15" t="n">
        <v>66.5</v>
      </c>
      <c r="J15" t="n">
        <v>7</v>
      </c>
      <c r="K15" t="n">
        <v>2</v>
      </c>
      <c r="L15" t="n">
        <v>4</v>
      </c>
      <c r="M15" t="n">
        <v>0</v>
      </c>
      <c r="N15" t="n">
        <v>0</v>
      </c>
      <c r="O15" t="n">
        <v>0</v>
      </c>
      <c r="P15" t="n">
        <v>0</v>
      </c>
      <c r="Q15" t="n">
        <v>4</v>
      </c>
      <c r="R15" t="n">
        <v>0</v>
      </c>
      <c r="S15" t="n">
        <v>12</v>
      </c>
      <c r="T15" t="n">
        <v>21</v>
      </c>
      <c r="U15" t="n">
        <v>0</v>
      </c>
      <c r="V15" s="2" t="inlineStr">
        <is>
          <t>Dofttaggsvamp
Skogshare
Tallkötticka
Talltita
Bollvitmossa
Grönpyrola
Järpe
Mattlummer
Tjäder
Orre
Fläcknycklar
Revlummer</t>
        </is>
      </c>
      <c r="W15">
        <f>HYPERLINK("https://klasma.github.io/Logging_1907/artfynd/S 920-2026 artfynd.xlsx", "S 920-2026")</f>
        <v/>
      </c>
      <c r="X15">
        <f>HYPERLINK("https://klasma.github.io/Logging_1907/kartor/S 920-2026 karta.png", "S 920-2026")</f>
        <v/>
      </c>
      <c r="Y15">
        <f>HYPERLINK("https://klasma.github.io/Logging_1907/kartor_geotiff/S 920-2026 georefererad karta.tif", "S 920-2026")</f>
        <v/>
      </c>
      <c r="AA15">
        <f>HYPERLINK("https://klasma.github.io/Logging_1907/klagomål/S 920-2026 FSC-klagomål.docx", "S 920-2026")</f>
        <v/>
      </c>
      <c r="AB15">
        <f>HYPERLINK("https://klasma.github.io/Logging_1907/klagomålsmail/S 920-2026 FSC-klagomål mail.docx", "S 920-2026")</f>
        <v/>
      </c>
      <c r="AC15">
        <f>HYPERLINK("https://klasma.github.io/Logging_1907/tillsyn/S 920-2026 tillsynsbegäran.docx", "S 920-2026")</f>
        <v/>
      </c>
      <c r="AD15">
        <f>HYPERLINK("https://klasma.github.io/Logging_1907/tillsynsmail/S 920-2026 tillsynsbegäran mail.docx", "S 920-2026")</f>
        <v/>
      </c>
      <c r="AE15">
        <f>HYPERLINK("https://klasma.github.io/Logging_1907/fåglar/S 920-2026 prioriterade fågelarter.docx", "S 920-2026")</f>
        <v/>
      </c>
    </row>
    <row r="16" ht="15" customHeight="1">
      <c r="A16" t="inlineStr">
        <is>
          <t>A 42853-2022</t>
        </is>
      </c>
      <c r="B16" t="inlineStr">
        <is>
          <t>avverkningsanmälan</t>
        </is>
      </c>
      <c r="C16" t="inlineStr">
        <is>
          <t>Avverkning för att bevara och utveckla /försöksver</t>
        </is>
      </c>
      <c r="D16" s="1" t="n">
        <v>44832</v>
      </c>
      <c r="E16" s="1" t="n">
        <v>46239</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46239</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39594-2025</t>
        </is>
      </c>
      <c r="B18" t="inlineStr">
        <is>
          <t>avverkningsanmälan</t>
        </is>
      </c>
      <c r="C18" t="inlineStr">
        <is>
          <t>Föryngringsavverkning</t>
        </is>
      </c>
      <c r="D18" s="1" t="n">
        <v>45890</v>
      </c>
      <c r="E18" s="1" t="n">
        <v>46239</v>
      </c>
      <c r="F18" t="inlineStr">
        <is>
          <t>VÄSTMANLANDS LÄN</t>
        </is>
      </c>
      <c r="G18" t="inlineStr">
        <is>
          <t>SURAHAMMAR</t>
        </is>
      </c>
      <c r="H18" t="inlineStr">
        <is>
          <t>Bergvik skog väst AB</t>
        </is>
      </c>
      <c r="I18" t="n">
        <v>7</v>
      </c>
      <c r="J18" t="n">
        <v>6</v>
      </c>
      <c r="K18" t="n">
        <v>3</v>
      </c>
      <c r="L18" t="n">
        <v>5</v>
      </c>
      <c r="M18" t="n">
        <v>0</v>
      </c>
      <c r="N18" t="n">
        <v>0</v>
      </c>
      <c r="O18" t="n">
        <v>0</v>
      </c>
      <c r="P18" t="n">
        <v>0</v>
      </c>
      <c r="Q18" t="n">
        <v>5</v>
      </c>
      <c r="R18" t="n">
        <v>0</v>
      </c>
      <c r="S18" t="n">
        <v>11</v>
      </c>
      <c r="T18" t="n">
        <v>14</v>
      </c>
      <c r="U18" t="n">
        <v>10</v>
      </c>
      <c r="V18" s="2" t="inlineStr">
        <is>
          <t>Brunlångöra
Dropptaggsvamp
Gropticka
Nordfladdermus
Talltita
Bronshjon
Gullgröppa
Vedticka
Järpe
Tjäder
Dvärgpipistrell</t>
        </is>
      </c>
      <c r="W18">
        <f>HYPERLINK("https://klasma.github.io/Logging_1907/artfynd/A 39594-2025 artfynd.xlsx", "A 39594-2025")</f>
        <v/>
      </c>
      <c r="X18">
        <f>HYPERLINK("https://klasma.github.io/Logging_1907/kartor/A 39594-2025 karta.png", "A 39594-2025")</f>
        <v/>
      </c>
      <c r="Y18">
        <f>HYPERLINK("https://klasma.github.io/Logging_1907/kartor_geotiff/A 39594-2025 georefererad karta.tif", "A 39594-2025")</f>
        <v/>
      </c>
      <c r="AA18">
        <f>HYPERLINK("https://klasma.github.io/Logging_1907/klagomål/A 39594-2025 FSC-klagomål.docx", "A 39594-2025")</f>
        <v/>
      </c>
      <c r="AB18">
        <f>HYPERLINK("https://klasma.github.io/Logging_1907/klagomålsmail/A 39594-2025 FSC-klagomål mail.docx", "A 39594-2025")</f>
        <v/>
      </c>
      <c r="AC18">
        <f>HYPERLINK("https://klasma.github.io/Logging_1907/tillsyn/A 39594-2025 tillsynsbegäran.docx", "A 39594-2025")</f>
        <v/>
      </c>
      <c r="AD18">
        <f>HYPERLINK("https://klasma.github.io/Logging_1907/tillsynsmail/A 39594-2025 tillsynsbegäran mail.docx", "A 39594-2025")</f>
        <v/>
      </c>
      <c r="AE18">
        <f>HYPERLINK("https://klasma.github.io/Logging_1907/fåglar/A 39594-2025 prioriterade fågelarter.docx", "A 39594-2025")</f>
        <v/>
      </c>
    </row>
    <row r="19" ht="15" customHeight="1">
      <c r="A19" t="inlineStr">
        <is>
          <t>A 31059-2026</t>
        </is>
      </c>
      <c r="B19" t="inlineStr">
        <is>
          <t>avverkningsanmälan</t>
        </is>
      </c>
      <c r="C19" t="inlineStr">
        <is>
          <t>Föryngringsavverkning</t>
        </is>
      </c>
      <c r="D19" s="1" t="n">
        <v>46215</v>
      </c>
      <c r="E19" s="1" t="n">
        <v>46239</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22907-2023</t>
        </is>
      </c>
      <c r="B20" t="inlineStr">
        <is>
          <t>avverkningsanmälan</t>
        </is>
      </c>
      <c r="C20" t="inlineStr">
        <is>
          <t>Föryngringsavverkning</t>
        </is>
      </c>
      <c r="D20" s="1" t="n">
        <v>45070</v>
      </c>
      <c r="E20" s="1" t="n">
        <v>46239</v>
      </c>
      <c r="F20" t="inlineStr">
        <is>
          <t>VÄSTMANLANDS LÄN</t>
        </is>
      </c>
      <c r="G20" t="inlineStr">
        <is>
          <t>SURAHAMMAR</t>
        </is>
      </c>
      <c r="H20" t="inlineStr">
        <is>
          <t>Bergvik skog väst AB</t>
        </is>
      </c>
      <c r="I20" t="n">
        <v>8.300000000000001</v>
      </c>
      <c r="J20" t="n">
        <v>7</v>
      </c>
      <c r="K20" t="n">
        <v>1</v>
      </c>
      <c r="L20" t="n">
        <v>3</v>
      </c>
      <c r="M20" t="n">
        <v>0</v>
      </c>
      <c r="N20" t="n">
        <v>0</v>
      </c>
      <c r="O20" t="n">
        <v>0</v>
      </c>
      <c r="P20" t="n">
        <v>0</v>
      </c>
      <c r="Q20" t="n">
        <v>3</v>
      </c>
      <c r="R20" t="n">
        <v>0</v>
      </c>
      <c r="S20" t="n">
        <v>10</v>
      </c>
      <c r="T20" t="n">
        <v>19</v>
      </c>
      <c r="U20" t="n">
        <v>9</v>
      </c>
      <c r="V20" s="2" t="inlineStr">
        <is>
          <t>Slåtterfibbla
Svinrot
Talltita
Barkticka
Mattlummer
Spillkråka
Kungsfågel
Fläcknycklar
Grönvit nattviol
Revlummer</t>
        </is>
      </c>
      <c r="W20">
        <f>HYPERLINK("https://klasma.github.io/Logging_1907/artfynd/A 22907-2023 artfynd.xlsx", "A 22907-2023")</f>
        <v/>
      </c>
      <c r="X20">
        <f>HYPERLINK("https://klasma.github.io/Logging_1907/kartor/A 22907-2023 karta.png", "A 22907-2023")</f>
        <v/>
      </c>
      <c r="Y20">
        <f>HYPERLINK("https://klasma.github.io/Logging_1907/kartor_geotiff/A 22907-2023 georefererad karta.tif", "A 22907-2023")</f>
        <v/>
      </c>
      <c r="AA20">
        <f>HYPERLINK("https://klasma.github.io/Logging_1907/klagomål/A 22907-2023 FSC-klagomål.docx", "A 22907-2023")</f>
        <v/>
      </c>
      <c r="AB20">
        <f>HYPERLINK("https://klasma.github.io/Logging_1907/klagomålsmail/A 22907-2023 FSC-klagomål mail.docx", "A 22907-2023")</f>
        <v/>
      </c>
      <c r="AC20">
        <f>HYPERLINK("https://klasma.github.io/Logging_1907/tillsyn/A 22907-2023 tillsynsbegäran.docx", "A 22907-2023")</f>
        <v/>
      </c>
      <c r="AD20">
        <f>HYPERLINK("https://klasma.github.io/Logging_1907/tillsynsmail/A 22907-2023 tillsynsbegäran mail.docx", "A 22907-2023")</f>
        <v/>
      </c>
      <c r="AE20">
        <f>HYPERLINK("https://klasma.github.io/Logging_1907/fåglar/A 22907-2023 prioriterade fågelarter.docx", "A 22907-2023")</f>
        <v/>
      </c>
    </row>
    <row r="21" ht="15" customHeight="1">
      <c r="A21" t="inlineStr">
        <is>
          <t>S 2049-2026</t>
        </is>
      </c>
      <c r="B21" t="inlineStr">
        <is>
          <t>samrådsanmälan</t>
        </is>
      </c>
      <c r="C21" t="inlineStr">
        <is>
          <t>Annan skogsbruksåtgärd</t>
        </is>
      </c>
      <c r="D21" s="1" t="n">
        <v>46216</v>
      </c>
      <c r="E21" s="1" t="n">
        <v>46239</v>
      </c>
      <c r="F21" t="inlineStr">
        <is>
          <t>VÄSTMANLANDS LÄN</t>
        </is>
      </c>
      <c r="G21" t="inlineStr">
        <is>
          <t>SURAHAMMAR</t>
        </is>
      </c>
      <c r="H21" t="inlineStr">
        <is>
          <t>Bergvik skog väst AB</t>
        </is>
      </c>
      <c r="I21" t="n">
        <v>11.9</v>
      </c>
      <c r="J21" t="n">
        <v>6</v>
      </c>
      <c r="K21" t="n">
        <v>3</v>
      </c>
      <c r="L21" t="n">
        <v>2</v>
      </c>
      <c r="M21" t="n">
        <v>1</v>
      </c>
      <c r="N21" t="n">
        <v>0</v>
      </c>
      <c r="O21" t="n">
        <v>0</v>
      </c>
      <c r="P21" t="n">
        <v>0</v>
      </c>
      <c r="Q21" t="n">
        <v>3</v>
      </c>
      <c r="R21" t="n">
        <v>1</v>
      </c>
      <c r="S21" t="n">
        <v>10</v>
      </c>
      <c r="T21" t="n">
        <v>17</v>
      </c>
      <c r="U21" t="n">
        <v>2</v>
      </c>
      <c r="V21" s="2" t="inlineStr">
        <is>
          <t>Knärot
Nordfladdermus
Orange taggsvamp
Mindre märgborre
Vedticka
Västlig hakmossa
Tjäder
Dvärgpipistrell
Svartvit flugsnappare
Revlummer</t>
        </is>
      </c>
      <c r="W21">
        <f>HYPERLINK("https://klasma.github.io/Logging_1907/artfynd/S 2049-2026 artfynd.xlsx", "S 2049-2026")</f>
        <v/>
      </c>
      <c r="X21">
        <f>HYPERLINK("https://klasma.github.io/Logging_1907/kartor/S 2049-2026 karta.png", "S 2049-2026")</f>
        <v/>
      </c>
      <c r="Y21">
        <f>HYPERLINK("https://klasma.github.io/Logging_1907/kartor_geotiff/S 2049-2026 georefererad karta.tif", "S 2049-2026")</f>
        <v/>
      </c>
      <c r="Z21">
        <f>HYPERLINK("https://klasma.github.io/Logging_1907/knärot/S 2049-2026 karta knärot.png", "S 2049-2026")</f>
        <v/>
      </c>
      <c r="AA21">
        <f>HYPERLINK("https://klasma.github.io/Logging_1907/klagomål/S 2049-2026 FSC-klagomål.docx", "S 2049-2026")</f>
        <v/>
      </c>
      <c r="AB21">
        <f>HYPERLINK("https://klasma.github.io/Logging_1907/klagomålsmail/S 2049-2026 FSC-klagomål mail.docx", "S 2049-2026")</f>
        <v/>
      </c>
      <c r="AC21">
        <f>HYPERLINK("https://klasma.github.io/Logging_1907/tillsyn/S 2049-2026 tillsynsbegäran.docx", "S 2049-2026")</f>
        <v/>
      </c>
      <c r="AD21">
        <f>HYPERLINK("https://klasma.github.io/Logging_1907/tillsynsmail/S 2049-2026 tillsynsbegäran mail.docx", "S 2049-2026")</f>
        <v/>
      </c>
      <c r="AE21">
        <f>HYPERLINK("https://klasma.github.io/Logging_1907/fåglar/S 2049-2026 prioriterade fågelarter.docx", "S 2049-2026")</f>
        <v/>
      </c>
    </row>
    <row r="22" ht="15" customHeight="1">
      <c r="A22" t="inlineStr">
        <is>
          <t>A 44798-2024</t>
        </is>
      </c>
      <c r="B22" t="inlineStr">
        <is>
          <t>avverkningsanmälan</t>
        </is>
      </c>
      <c r="C22" t="inlineStr">
        <is>
          <t>Föryngringsavverkning</t>
        </is>
      </c>
      <c r="D22" s="1" t="n">
        <v>45574</v>
      </c>
      <c r="E22" s="1" t="n">
        <v>46239</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20391-2024</t>
        </is>
      </c>
      <c r="B23" t="inlineStr">
        <is>
          <t>avverkningsanmälan</t>
        </is>
      </c>
      <c r="C23" t="inlineStr">
        <is>
          <t>Föryngringsavverkning</t>
        </is>
      </c>
      <c r="D23" s="1" t="n">
        <v>45435</v>
      </c>
      <c r="E23" s="1" t="n">
        <v>46239</v>
      </c>
      <c r="F23" t="inlineStr">
        <is>
          <t>VÄSTMANLANDS LÄN</t>
        </is>
      </c>
      <c r="G23" t="inlineStr">
        <is>
          <t>SURAHAMMAR</t>
        </is>
      </c>
      <c r="I23" t="n">
        <v>1.5</v>
      </c>
      <c r="J23" t="n">
        <v>4</v>
      </c>
      <c r="K23" t="n">
        <v>1</v>
      </c>
      <c r="L23" t="n">
        <v>5</v>
      </c>
      <c r="M23" t="n">
        <v>0</v>
      </c>
      <c r="N23" t="n">
        <v>0</v>
      </c>
      <c r="O23" t="n">
        <v>0</v>
      </c>
      <c r="P23" t="n">
        <v>0</v>
      </c>
      <c r="Q23" t="n">
        <v>5</v>
      </c>
      <c r="R23" t="n">
        <v>0</v>
      </c>
      <c r="S23" t="n">
        <v>8</v>
      </c>
      <c r="T23" t="n">
        <v>9</v>
      </c>
      <c r="U23" t="n">
        <v>0</v>
      </c>
      <c r="V23" s="2" t="inlineStr">
        <is>
          <t>Duvhök
Kattfotslav
Talltita
Vedtrappmossa
Vitfläckig guldvinge
Stubbspretmossa
Grönsiska
Grönvit nattviol</t>
        </is>
      </c>
      <c r="W23">
        <f>HYPERLINK("https://klasma.github.io/Logging_1907/artfynd/A 20391-2024 artfynd.xlsx", "A 20391-2024")</f>
        <v/>
      </c>
      <c r="X23">
        <f>HYPERLINK("https://klasma.github.io/Logging_1907/kartor/A 20391-2024 karta.png", "A 20391-2024")</f>
        <v/>
      </c>
      <c r="Y23">
        <f>HYPERLINK("https://klasma.github.io/Logging_1907/kartor_geotiff/A 20391-2024 georefererad karta.tif", "A 20391-2024")</f>
        <v/>
      </c>
      <c r="AA23">
        <f>HYPERLINK("https://klasma.github.io/Logging_1907/klagomål/A 20391-2024 FSC-klagomål.docx", "A 20391-2024")</f>
        <v/>
      </c>
      <c r="AB23">
        <f>HYPERLINK("https://klasma.github.io/Logging_1907/klagomålsmail/A 20391-2024 FSC-klagomål mail.docx", "A 20391-2024")</f>
        <v/>
      </c>
      <c r="AC23">
        <f>HYPERLINK("https://klasma.github.io/Logging_1907/tillsyn/A 20391-2024 tillsynsbegäran.docx", "A 20391-2024")</f>
        <v/>
      </c>
      <c r="AD23">
        <f>HYPERLINK("https://klasma.github.io/Logging_1907/tillsynsmail/A 20391-2024 tillsynsbegäran mail.docx", "A 20391-2024")</f>
        <v/>
      </c>
      <c r="AE23">
        <f>HYPERLINK("https://klasma.github.io/Logging_1907/fåglar/A 20391-2024 prioriterade fågelarter.docx", "A 20391-2024")</f>
        <v/>
      </c>
    </row>
    <row r="24" ht="15" customHeight="1">
      <c r="A24" t="inlineStr">
        <is>
          <t>A 66349-2021</t>
        </is>
      </c>
      <c r="B24" t="inlineStr">
        <is>
          <t>avverkningsanmälan</t>
        </is>
      </c>
      <c r="C24" t="inlineStr">
        <is>
          <t>Föryngringsavverkning</t>
        </is>
      </c>
      <c r="D24" s="1" t="n">
        <v>44518</v>
      </c>
      <c r="E24" s="1" t="n">
        <v>46239</v>
      </c>
      <c r="F24" t="inlineStr">
        <is>
          <t>VÄSTMANLANDS LÄN</t>
        </is>
      </c>
      <c r="G24" t="inlineStr">
        <is>
          <t>SURAHAMMAR</t>
        </is>
      </c>
      <c r="H24" t="inlineStr">
        <is>
          <t>Sveaskog</t>
        </is>
      </c>
      <c r="I24" t="n">
        <v>6</v>
      </c>
      <c r="J24" t="n">
        <v>3</v>
      </c>
      <c r="K24" t="n">
        <v>1</v>
      </c>
      <c r="L24" t="n">
        <v>2</v>
      </c>
      <c r="M24" t="n">
        <v>2</v>
      </c>
      <c r="N24" t="n">
        <v>0</v>
      </c>
      <c r="O24" t="n">
        <v>0</v>
      </c>
      <c r="P24" t="n">
        <v>0</v>
      </c>
      <c r="Q24" t="n">
        <v>4</v>
      </c>
      <c r="R24" t="n">
        <v>2</v>
      </c>
      <c r="S24" t="n">
        <v>7</v>
      </c>
      <c r="T24" t="n">
        <v>10</v>
      </c>
      <c r="U24" t="n">
        <v>10</v>
      </c>
      <c r="V24" s="2" t="inlineStr">
        <is>
          <t>Silverblåvinge
Ängsblåvinge
Järnsparv
Krusfrö
Bronshjon
Kråka
Fläcknycklar</t>
        </is>
      </c>
      <c r="W24">
        <f>HYPERLINK("https://klasma.github.io/Logging_1907/artfynd/A 66349-2021 artfynd.xlsx", "A 66349-2021")</f>
        <v/>
      </c>
      <c r="X24">
        <f>HYPERLINK("https://klasma.github.io/Logging_1907/kartor/A 66349-2021 karta.png", "A 66349-2021")</f>
        <v/>
      </c>
      <c r="Y24">
        <f>HYPERLINK("https://klasma.github.io/Logging_1907/kartor_geotiff/A 66349-2021 georefererad karta.tif", "A 66349-2021")</f>
        <v/>
      </c>
      <c r="AA24">
        <f>HYPERLINK("https://klasma.github.io/Logging_1907/klagomål/A 66349-2021 FSC-klagomål.docx", "A 66349-2021")</f>
        <v/>
      </c>
      <c r="AB24">
        <f>HYPERLINK("https://klasma.github.io/Logging_1907/klagomålsmail/A 66349-2021 FSC-klagomål mail.docx", "A 66349-2021")</f>
        <v/>
      </c>
      <c r="AC24">
        <f>HYPERLINK("https://klasma.github.io/Logging_1907/tillsyn/A 66349-2021 tillsynsbegäran.docx", "A 66349-2021")</f>
        <v/>
      </c>
      <c r="AD24">
        <f>HYPERLINK("https://klasma.github.io/Logging_1907/tillsynsmail/A 66349-2021 tillsynsbegäran mail.docx", "A 66349-2021")</f>
        <v/>
      </c>
      <c r="AE24">
        <f>HYPERLINK("https://klasma.github.io/Logging_1907/fåglar/A 66349-2021 prioriterade fågelarter.docx", "A 66349-2021")</f>
        <v/>
      </c>
    </row>
    <row r="25" ht="15" customHeight="1">
      <c r="A25" t="inlineStr">
        <is>
          <t>A 22840-2023</t>
        </is>
      </c>
      <c r="B25" t="inlineStr">
        <is>
          <t>avverkningsanmälan</t>
        </is>
      </c>
      <c r="C25" t="inlineStr">
        <is>
          <t>Föryngringsavverkning</t>
        </is>
      </c>
      <c r="D25" s="1" t="n">
        <v>45072</v>
      </c>
      <c r="E25" s="1" t="n">
        <v>46239</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t="n">
        <v>9</v>
      </c>
      <c r="V25" s="2" t="inlineStr">
        <is>
          <t>Hultbräken
Kärrviol
Mattlummer
Skogsstjärna
Stjärnstarr
Vitsippa
Fläcknycklar</t>
        </is>
      </c>
      <c r="W25">
        <f>HYPERLINK("https://klasma.github.io/Logging_1907/artfynd/A 22840-2023 artfynd.xlsx", "A 22840-2023")</f>
        <v/>
      </c>
      <c r="X25">
        <f>HYPERLINK("https://klasma.github.io/Logging_1907/kartor/A 22840-2023 karta.png", "A 22840-2023")</f>
        <v/>
      </c>
      <c r="Y25">
        <f>HYPERLINK("https://klasma.github.io/Logging_1907/kartor_geotiff/A 22840-2023 georefererad karta.tif", "A 22840-2023")</f>
        <v/>
      </c>
      <c r="AA25">
        <f>HYPERLINK("https://klasma.github.io/Logging_1907/klagomål/A 22840-2023 FSC-klagomål.docx", "A 22840-2023")</f>
        <v/>
      </c>
      <c r="AB25">
        <f>HYPERLINK("https://klasma.github.io/Logging_1907/klagomålsmail/A 22840-2023 FSC-klagomål mail.docx", "A 22840-2023")</f>
        <v/>
      </c>
      <c r="AC25">
        <f>HYPERLINK("https://klasma.github.io/Logging_1907/tillsyn/A 22840-2023 tillsynsbegäran.docx", "A 22840-2023")</f>
        <v/>
      </c>
      <c r="AD25">
        <f>HYPERLINK("https://klasma.github.io/Logging_1907/tillsynsmail/A 22840-2023 tillsynsbegäran mail.docx", "A 22840-2023")</f>
        <v/>
      </c>
    </row>
    <row r="26" ht="15" customHeight="1">
      <c r="A26" t="inlineStr">
        <is>
          <t>A 56299-2021</t>
        </is>
      </c>
      <c r="B26" t="inlineStr">
        <is>
          <t>avverkningsanmälan</t>
        </is>
      </c>
      <c r="C26" t="inlineStr">
        <is>
          <t>Föryngringsavverkning</t>
        </is>
      </c>
      <c r="D26" s="1" t="n">
        <v>44477</v>
      </c>
      <c r="E26" s="1" t="n">
        <v>46239</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46239</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38172-2024</t>
        </is>
      </c>
      <c r="B28" t="inlineStr">
        <is>
          <t>avverkningsanmälan</t>
        </is>
      </c>
      <c r="C28" t="inlineStr">
        <is>
          <t>Avverkning för att bevara och utveckla /försöksver</t>
        </is>
      </c>
      <c r="D28" s="1" t="n">
        <v>45545</v>
      </c>
      <c r="E28" s="1" t="n">
        <v>46239</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S 2882-2025</t>
        </is>
      </c>
      <c r="B29" t="inlineStr">
        <is>
          <t>samrådsanmälan</t>
        </is>
      </c>
      <c r="C29" t="inlineStr">
        <is>
          <t>Annan skogsbruksåtgärd</t>
        </is>
      </c>
      <c r="D29" s="1" t="n">
        <v>45945</v>
      </c>
      <c r="E29" s="1" t="n">
        <v>46239</v>
      </c>
      <c r="F29" t="inlineStr">
        <is>
          <t>VÄSTMANLANDS LÄN</t>
        </is>
      </c>
      <c r="G29" t="inlineStr">
        <is>
          <t>SURAHAMMAR</t>
        </is>
      </c>
      <c r="I29" t="n">
        <v>2.5</v>
      </c>
      <c r="J29" t="n">
        <v>4</v>
      </c>
      <c r="K29" t="n">
        <v>2</v>
      </c>
      <c r="L29" t="n">
        <v>3</v>
      </c>
      <c r="M29" t="n">
        <v>0</v>
      </c>
      <c r="N29" t="n">
        <v>1</v>
      </c>
      <c r="O29" t="n">
        <v>0</v>
      </c>
      <c r="P29" t="n">
        <v>0</v>
      </c>
      <c r="Q29" t="n">
        <v>4</v>
      </c>
      <c r="R29" t="n">
        <v>1</v>
      </c>
      <c r="S29" t="n">
        <v>7</v>
      </c>
      <c r="T29" t="n">
        <v>18</v>
      </c>
      <c r="U29" t="n">
        <v>0</v>
      </c>
      <c r="V29" s="2" t="inlineStr">
        <is>
          <t>Bombmurkla
Järnsparv
Talltita
Ullticka
Mindre märgborre
Stor aspticka
Ärtsångare</t>
        </is>
      </c>
      <c r="W29">
        <f>HYPERLINK("https://klasma.github.io/Logging_1907/artfynd/S 2882-2025 artfynd.xlsx", "S 2882-2025")</f>
        <v/>
      </c>
      <c r="X29">
        <f>HYPERLINK("https://klasma.github.io/Logging_1907/kartor/S 2882-2025 karta.png", "S 2882-2025")</f>
        <v/>
      </c>
      <c r="Y29">
        <f>HYPERLINK("https://klasma.github.io/Logging_1907/kartor_geotiff/S 2882-2025 georefererad karta.tif", "S 2882-2025")</f>
        <v/>
      </c>
      <c r="Z29">
        <f>HYPERLINK("https://klasma.github.io/Logging_1907/knärot/S 2882-2025 karta knärot.png", "S 2882-2025")</f>
        <v/>
      </c>
      <c r="AA29">
        <f>HYPERLINK("https://klasma.github.io/Logging_1907/klagomål/S 2882-2025 FSC-klagomål.docx", "S 2882-2025")</f>
        <v/>
      </c>
      <c r="AB29">
        <f>HYPERLINK("https://klasma.github.io/Logging_1907/klagomålsmail/S 2882-2025 FSC-klagomål mail.docx", "S 2882-2025")</f>
        <v/>
      </c>
      <c r="AC29">
        <f>HYPERLINK("https://klasma.github.io/Logging_1907/tillsyn/S 2882-2025 tillsynsbegäran.docx", "S 2882-2025")</f>
        <v/>
      </c>
      <c r="AD29">
        <f>HYPERLINK("https://klasma.github.io/Logging_1907/tillsynsmail/S 2882-2025 tillsynsbegäran mail.docx", "S 2882-2025")</f>
        <v/>
      </c>
      <c r="AE29">
        <f>HYPERLINK("https://klasma.github.io/Logging_1907/fåglar/S 2882-2025 prioriterade fågelarter.docx", "S 2882-2025")</f>
        <v/>
      </c>
    </row>
    <row r="30" ht="15" customHeight="1">
      <c r="A30" t="inlineStr">
        <is>
          <t>A 66343-2021</t>
        </is>
      </c>
      <c r="B30" t="inlineStr">
        <is>
          <t>avverkningsanmälan</t>
        </is>
      </c>
      <c r="C30" t="inlineStr">
        <is>
          <t>Föryngringsavverkning</t>
        </is>
      </c>
      <c r="D30" s="1" t="n">
        <v>44518</v>
      </c>
      <c r="E30" s="1" t="n">
        <v>46239</v>
      </c>
      <c r="F30" t="inlineStr">
        <is>
          <t>VÄSTMANLANDS LÄN</t>
        </is>
      </c>
      <c r="G30" t="inlineStr">
        <is>
          <t>SURAHAMMAR</t>
        </is>
      </c>
      <c r="H30" t="inlineStr">
        <is>
          <t>Sveaskog</t>
        </is>
      </c>
      <c r="I30" t="n">
        <v>2.5</v>
      </c>
      <c r="J30" t="n">
        <v>0</v>
      </c>
      <c r="K30" t="n">
        <v>2</v>
      </c>
      <c r="L30" t="n">
        <v>2</v>
      </c>
      <c r="M30" t="n">
        <v>2</v>
      </c>
      <c r="N30" t="n">
        <v>0</v>
      </c>
      <c r="O30" t="n">
        <v>0</v>
      </c>
      <c r="P30" t="n">
        <v>0</v>
      </c>
      <c r="Q30" t="n">
        <v>4</v>
      </c>
      <c r="R30" t="n">
        <v>2</v>
      </c>
      <c r="S30" t="n">
        <v>6</v>
      </c>
      <c r="T30" t="n">
        <v>12</v>
      </c>
      <c r="U30" t="n">
        <v>12</v>
      </c>
      <c r="V30" s="2" t="inlineStr">
        <is>
          <t>Lakritsmusseron
Torrmusseron
Brunpudrad nållav
Motaggsvamp
Blåmossa
Mindre märgborre</t>
        </is>
      </c>
      <c r="W30">
        <f>HYPERLINK("https://klasma.github.io/Logging_1907/artfynd/A 66343-2021 artfynd.xlsx", "A 66343-2021")</f>
        <v/>
      </c>
      <c r="X30">
        <f>HYPERLINK("https://klasma.github.io/Logging_1907/kartor/A 66343-2021 karta.png", "A 66343-2021")</f>
        <v/>
      </c>
      <c r="Y30">
        <f>HYPERLINK("https://klasma.github.io/Logging_1907/kartor_geotiff/A 66343-2021 georefererad karta.tif", "A 66343-2021")</f>
        <v/>
      </c>
      <c r="AA30">
        <f>HYPERLINK("https://klasma.github.io/Logging_1907/klagomål/A 66343-2021 FSC-klagomål.docx", "A 66343-2021")</f>
        <v/>
      </c>
      <c r="AB30">
        <f>HYPERLINK("https://klasma.github.io/Logging_1907/klagomålsmail/A 66343-2021 FSC-klagomål mail.docx", "A 66343-2021")</f>
        <v/>
      </c>
      <c r="AC30">
        <f>HYPERLINK("https://klasma.github.io/Logging_1907/tillsyn/A 66343-2021 tillsynsbegäran.docx", "A 66343-2021")</f>
        <v/>
      </c>
      <c r="AD30">
        <f>HYPERLINK("https://klasma.github.io/Logging_1907/tillsynsmail/A 66343-2021 tillsynsbegäran mail.docx", "A 66343-2021")</f>
        <v/>
      </c>
    </row>
    <row r="31" ht="15" customHeight="1">
      <c r="A31" t="inlineStr">
        <is>
          <t>A 31060-2026</t>
        </is>
      </c>
      <c r="B31" t="inlineStr">
        <is>
          <t>avverkningsanmälan</t>
        </is>
      </c>
      <c r="C31" t="inlineStr">
        <is>
          <t>Föryngringsavverkning</t>
        </is>
      </c>
      <c r="D31" s="1" t="n">
        <v>46215</v>
      </c>
      <c r="E31" s="1" t="n">
        <v>46239</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t="n">
        <v>0</v>
      </c>
      <c r="V31" s="2" t="inlineStr">
        <is>
          <t>Bombmurkla
Springkorn
Vedticka
Spillkråka
Åkergroda
Vanlig groda</t>
        </is>
      </c>
      <c r="W31">
        <f>HYPERLINK("https://klasma.github.io/Logging_1907/artfynd/A 31060-2026 artfynd.xlsx", "A 31060-2026")</f>
        <v/>
      </c>
      <c r="X31">
        <f>HYPERLINK("https://klasma.github.io/Logging_1907/kartor/A 31060-2026 karta.png", "A 31060-2026")</f>
        <v/>
      </c>
      <c r="Y31">
        <f>HYPERLINK("https://klasma.github.io/Logging_1907/kartor_geotiff/A 31060-2026 georefererad karta.tif", "A 31060-2026")</f>
        <v/>
      </c>
      <c r="AA31">
        <f>HYPERLINK("https://klasma.github.io/Logging_1907/klagomål/A 31060-2026 FSC-klagomål.docx", "A 31060-2026")</f>
        <v/>
      </c>
      <c r="AB31">
        <f>HYPERLINK("https://klasma.github.io/Logging_1907/klagomålsmail/A 31060-2026 FSC-klagomål mail.docx", "A 31060-2026")</f>
        <v/>
      </c>
      <c r="AC31">
        <f>HYPERLINK("https://klasma.github.io/Logging_1907/tillsyn/A 31060-2026 tillsynsbegäran.docx", "A 31060-2026")</f>
        <v/>
      </c>
      <c r="AD31">
        <f>HYPERLINK("https://klasma.github.io/Logging_1907/tillsynsmail/A 31060-2026 tillsynsbegäran mail.docx", "A 31060-2026")</f>
        <v/>
      </c>
      <c r="AE31">
        <f>HYPERLINK("https://klasma.github.io/Logging_1907/fåglar/A 31060-2026 prioriterade fågelarter.docx", "A 31060-2026")</f>
        <v/>
      </c>
    </row>
    <row r="32" ht="15" customHeight="1">
      <c r="A32" t="inlineStr">
        <is>
          <t>A 63145-2025</t>
        </is>
      </c>
      <c r="B32" t="inlineStr">
        <is>
          <t>avverkningsanmälan</t>
        </is>
      </c>
      <c r="C32" t="inlineStr">
        <is>
          <t>Föryngringsavverkning</t>
        </is>
      </c>
      <c r="D32" s="1" t="n">
        <v>46009</v>
      </c>
      <c r="E32" s="1" t="n">
        <v>46239</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46239</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46239</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21716-2025</t>
        </is>
      </c>
      <c r="B35" t="inlineStr">
        <is>
          <t>avverkningsanmälan</t>
        </is>
      </c>
      <c r="C35" t="inlineStr">
        <is>
          <t>Föryngringsavverkning</t>
        </is>
      </c>
      <c r="D35" s="1" t="n">
        <v>45783</v>
      </c>
      <c r="E35" s="1" t="n">
        <v>46239</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A 42708-2022</t>
        </is>
      </c>
      <c r="B36" t="inlineStr">
        <is>
          <t>avverkningsanmälan</t>
        </is>
      </c>
      <c r="C36" t="inlineStr">
        <is>
          <t>Föryngringsavverkning</t>
        </is>
      </c>
      <c r="D36" s="1" t="n">
        <v>44832</v>
      </c>
      <c r="E36" s="1" t="n">
        <v>46239</v>
      </c>
      <c r="F36" t="inlineStr">
        <is>
          <t>VÄSTMANLANDS LÄN</t>
        </is>
      </c>
      <c r="G36" t="inlineStr">
        <is>
          <t>SURAHAMMAR</t>
        </is>
      </c>
      <c r="I36" t="n">
        <v>27.2</v>
      </c>
      <c r="J36" t="n">
        <v>5</v>
      </c>
      <c r="K36" t="n">
        <v>0</v>
      </c>
      <c r="L36" t="n">
        <v>1</v>
      </c>
      <c r="M36" t="n">
        <v>0</v>
      </c>
      <c r="N36" t="n">
        <v>0</v>
      </c>
      <c r="O36" t="n">
        <v>0</v>
      </c>
      <c r="P36" t="n">
        <v>0</v>
      </c>
      <c r="Q36" t="n">
        <v>1</v>
      </c>
      <c r="R36" t="n">
        <v>0</v>
      </c>
      <c r="S36" t="n">
        <v>5</v>
      </c>
      <c r="T36" t="n">
        <v>8</v>
      </c>
      <c r="U36" t="n">
        <v>1</v>
      </c>
      <c r="V36" s="2" t="inlineStr">
        <is>
          <t>Entita
Blåsippa
Spillkråka
Gröngöling
Skogsduva</t>
        </is>
      </c>
      <c r="W36">
        <f>HYPERLINK("https://klasma.github.io/Logging_1907/artfynd/A 42708-2022 artfynd.xlsx", "A 42708-2022")</f>
        <v/>
      </c>
      <c r="X36">
        <f>HYPERLINK("https://klasma.github.io/Logging_1907/kartor/A 42708-2022 karta.png", "A 42708-2022")</f>
        <v/>
      </c>
      <c r="Y36">
        <f>HYPERLINK("https://klasma.github.io/Logging_1907/kartor_geotiff/A 42708-2022 georefererad karta.tif", "A 42708-2022")</f>
        <v/>
      </c>
      <c r="AA36">
        <f>HYPERLINK("https://klasma.github.io/Logging_1907/klagomål/A 42708-2022 FSC-klagomål.docx", "A 42708-2022")</f>
        <v/>
      </c>
      <c r="AB36">
        <f>HYPERLINK("https://klasma.github.io/Logging_1907/klagomålsmail/A 42708-2022 FSC-klagomål mail.docx", "A 42708-2022")</f>
        <v/>
      </c>
      <c r="AC36">
        <f>HYPERLINK("https://klasma.github.io/Logging_1907/tillsyn/A 42708-2022 tillsynsbegäran.docx", "A 42708-2022")</f>
        <v/>
      </c>
      <c r="AD36">
        <f>HYPERLINK("https://klasma.github.io/Logging_1907/tillsynsmail/A 42708-2022 tillsynsbegäran mail.docx", "A 42708-2022")</f>
        <v/>
      </c>
      <c r="AE36">
        <f>HYPERLINK("https://klasma.github.io/Logging_1907/fåglar/A 42708-2022 prioriterade fågelarter.docx", "A 42708-2022")</f>
        <v/>
      </c>
    </row>
    <row r="37" ht="15" customHeight="1">
      <c r="A37" t="inlineStr">
        <is>
          <t>S 42-2022</t>
        </is>
      </c>
      <c r="B37" t="inlineStr">
        <is>
          <t>samrådsanmälan</t>
        </is>
      </c>
      <c r="C37" t="inlineStr">
        <is>
          <t>Annan skogsbruksåtgärd</t>
        </is>
      </c>
      <c r="D37" s="1" t="n">
        <v>44565</v>
      </c>
      <c r="E37" s="1" t="n">
        <v>46239</v>
      </c>
      <c r="F37" t="inlineStr">
        <is>
          <t>VÄSTMANLANDS LÄN</t>
        </is>
      </c>
      <c r="G37" t="inlineStr">
        <is>
          <t>SURAHAMMAR</t>
        </is>
      </c>
      <c r="H37" t="inlineStr">
        <is>
          <t>Bergvik skog väst AB</t>
        </is>
      </c>
      <c r="I37" t="n">
        <v>9.800000000000001</v>
      </c>
      <c r="J37" t="n">
        <v>2</v>
      </c>
      <c r="K37" t="n">
        <v>1</v>
      </c>
      <c r="L37" t="n">
        <v>1</v>
      </c>
      <c r="M37" t="n">
        <v>0</v>
      </c>
      <c r="N37" t="n">
        <v>0</v>
      </c>
      <c r="O37" t="n">
        <v>0</v>
      </c>
      <c r="P37" t="n">
        <v>0</v>
      </c>
      <c r="Q37" t="n">
        <v>1</v>
      </c>
      <c r="R37" t="n">
        <v>0</v>
      </c>
      <c r="S37" t="n">
        <v>5</v>
      </c>
      <c r="T37" t="n">
        <v>40</v>
      </c>
      <c r="U37" t="n">
        <v>12</v>
      </c>
      <c r="V37" s="2" t="inlineStr">
        <is>
          <t>Skogshare
Mindre märgborre
Sotpraktbagge
Spillkråka
Tjäder</t>
        </is>
      </c>
      <c r="W37">
        <f>HYPERLINK("https://klasma.github.io/Logging_1907/artfynd/S 42-2022 artfynd.xlsx", "S 42-2022")</f>
        <v/>
      </c>
      <c r="X37">
        <f>HYPERLINK("https://klasma.github.io/Logging_1907/kartor/S 42-2022 karta.png", "S 42-2022")</f>
        <v/>
      </c>
      <c r="Y37">
        <f>HYPERLINK("https://klasma.github.io/Logging_1907/kartor_geotiff/S 42-2022 georefererad karta.tif", "S 42-2022")</f>
        <v/>
      </c>
      <c r="AA37">
        <f>HYPERLINK("https://klasma.github.io/Logging_1907/klagomål/S 42-2022 FSC-klagomål.docx", "S 42-2022")</f>
        <v/>
      </c>
      <c r="AB37">
        <f>HYPERLINK("https://klasma.github.io/Logging_1907/klagomålsmail/S 42-2022 FSC-klagomål mail.docx", "S 42-2022")</f>
        <v/>
      </c>
      <c r="AC37">
        <f>HYPERLINK("https://klasma.github.io/Logging_1907/tillsyn/S 42-2022 tillsynsbegäran.docx", "S 42-2022")</f>
        <v/>
      </c>
      <c r="AD37">
        <f>HYPERLINK("https://klasma.github.io/Logging_1907/tillsynsmail/S 42-2022 tillsynsbegäran mail.docx", "S 42-2022")</f>
        <v/>
      </c>
      <c r="AE37">
        <f>HYPERLINK("https://klasma.github.io/Logging_1907/fåglar/S 42-2022 prioriterade fågelarter.docx", "S 42-2022")</f>
        <v/>
      </c>
    </row>
    <row r="38" ht="15" customHeight="1">
      <c r="A38" t="inlineStr">
        <is>
          <t>A 10819-2024</t>
        </is>
      </c>
      <c r="B38" t="inlineStr">
        <is>
          <t>avverkningsanmälan</t>
        </is>
      </c>
      <c r="C38" t="inlineStr">
        <is>
          <t>Föryngringsavverkning</t>
        </is>
      </c>
      <c r="D38" s="1" t="n">
        <v>45369</v>
      </c>
      <c r="E38" s="1" t="n">
        <v>46239</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25548-2024</t>
        </is>
      </c>
      <c r="B39" t="inlineStr">
        <is>
          <t>avverkningsanmälan</t>
        </is>
      </c>
      <c r="C39" t="inlineStr">
        <is>
          <t>Föryngringsavverkning</t>
        </is>
      </c>
      <c r="D39" s="1" t="n">
        <v>45463</v>
      </c>
      <c r="E39" s="1" t="n">
        <v>46239</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40411-2021</t>
        </is>
      </c>
      <c r="B40" t="inlineStr">
        <is>
          <t>avverkningsanmälan</t>
        </is>
      </c>
      <c r="C40" t="inlineStr">
        <is>
          <t>Föryngringsavverkning</t>
        </is>
      </c>
      <c r="D40" s="1" t="n">
        <v>44419</v>
      </c>
      <c r="E40" s="1" t="n">
        <v>46239</v>
      </c>
      <c r="F40" t="inlineStr">
        <is>
          <t>VÄSTMANLANDS LÄN</t>
        </is>
      </c>
      <c r="G40" t="inlineStr">
        <is>
          <t>SURAHAMMAR</t>
        </is>
      </c>
      <c r="H40" t="inlineStr">
        <is>
          <t>Sveaskog</t>
        </is>
      </c>
      <c r="I40" t="n">
        <v>2.4</v>
      </c>
      <c r="J40" t="n">
        <v>1</v>
      </c>
      <c r="K40" t="n">
        <v>0</v>
      </c>
      <c r="L40" t="n">
        <v>1</v>
      </c>
      <c r="M40" t="n">
        <v>1</v>
      </c>
      <c r="N40" t="n">
        <v>0</v>
      </c>
      <c r="O40" t="n">
        <v>0</v>
      </c>
      <c r="P40" t="n">
        <v>0</v>
      </c>
      <c r="Q40" t="n">
        <v>2</v>
      </c>
      <c r="R40" t="n">
        <v>1</v>
      </c>
      <c r="S40" t="n">
        <v>4</v>
      </c>
      <c r="T40" t="n">
        <v>4</v>
      </c>
      <c r="U40" t="n">
        <v>1</v>
      </c>
      <c r="V40" s="2" t="inlineStr">
        <is>
          <t>Brunfläckig pärlemorfjäril
Pilblad
Hässlebrodd
Kopparödla</t>
        </is>
      </c>
      <c r="W40">
        <f>HYPERLINK("https://klasma.github.io/Logging_1907/artfynd/A 40411-2021 artfynd.xlsx", "A 40411-2021")</f>
        <v/>
      </c>
      <c r="X40">
        <f>HYPERLINK("https://klasma.github.io/Logging_1907/kartor/A 40411-2021 karta.png", "A 40411-2021")</f>
        <v/>
      </c>
      <c r="Y40">
        <f>HYPERLINK("https://klasma.github.io/Logging_1907/kartor_geotiff/A 40411-2021 georefererad karta.tif", "A 40411-2021")</f>
        <v/>
      </c>
      <c r="AA40">
        <f>HYPERLINK("https://klasma.github.io/Logging_1907/klagomål/A 40411-2021 FSC-klagomål.docx", "A 40411-2021")</f>
        <v/>
      </c>
      <c r="AB40">
        <f>HYPERLINK("https://klasma.github.io/Logging_1907/klagomålsmail/A 40411-2021 FSC-klagomål mail.docx", "A 40411-2021")</f>
        <v/>
      </c>
      <c r="AC40">
        <f>HYPERLINK("https://klasma.github.io/Logging_1907/tillsyn/A 40411-2021 tillsynsbegäran.docx", "A 40411-2021")</f>
        <v/>
      </c>
      <c r="AD40">
        <f>HYPERLINK("https://klasma.github.io/Logging_1907/tillsynsmail/A 40411-2021 tillsynsbegäran mail.docx", "A 40411-2021")</f>
        <v/>
      </c>
    </row>
    <row r="41" ht="15" customHeight="1">
      <c r="A41" t="inlineStr">
        <is>
          <t>A 31176-2024</t>
        </is>
      </c>
      <c r="B41" t="inlineStr">
        <is>
          <t>avverkningsanmälan</t>
        </is>
      </c>
      <c r="C41" t="inlineStr">
        <is>
          <t>Föryngringsavverkning</t>
        </is>
      </c>
      <c r="D41" s="1" t="n">
        <v>45503</v>
      </c>
      <c r="E41" s="1" t="n">
        <v>46239</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66350-2021</t>
        </is>
      </c>
      <c r="B42" t="inlineStr">
        <is>
          <t>avverkningsanmälan</t>
        </is>
      </c>
      <c r="C42" t="inlineStr">
        <is>
          <t>Föryngringsavverkning</t>
        </is>
      </c>
      <c r="D42" s="1" t="n">
        <v>44518</v>
      </c>
      <c r="E42" s="1" t="n">
        <v>46239</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46239</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46239</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46239</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48128-2023</t>
        </is>
      </c>
      <c r="B46" t="inlineStr">
        <is>
          <t>avverkningsanmälan</t>
        </is>
      </c>
      <c r="C46" t="inlineStr">
        <is>
          <t>Föryngringsavverkning</t>
        </is>
      </c>
      <c r="D46" s="1" t="n">
        <v>45205</v>
      </c>
      <c r="E46" s="1" t="n">
        <v>46239</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63146-2025</t>
        </is>
      </c>
      <c r="B47" t="inlineStr">
        <is>
          <t>avverkningsanmälan</t>
        </is>
      </c>
      <c r="C47" t="inlineStr">
        <is>
          <t>Föryngringsavverkning</t>
        </is>
      </c>
      <c r="D47" s="1" t="n">
        <v>46009</v>
      </c>
      <c r="E47" s="1" t="n">
        <v>46239</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42765-2022</t>
        </is>
      </c>
      <c r="B48" t="inlineStr">
        <is>
          <t>avverkningsanmälan</t>
        </is>
      </c>
      <c r="C48" t="inlineStr">
        <is>
          <t>Avverkning för annat ändamål</t>
        </is>
      </c>
      <c r="D48" s="1" t="n">
        <v>44832</v>
      </c>
      <c r="E48" s="1" t="n">
        <v>46239</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4082-2025</t>
        </is>
      </c>
      <c r="B49" t="inlineStr">
        <is>
          <t>avverkningsanmälan</t>
        </is>
      </c>
      <c r="C49" t="inlineStr">
        <is>
          <t>Föryngringsavverkning</t>
        </is>
      </c>
      <c r="D49" s="1" t="n">
        <v>45684</v>
      </c>
      <c r="E49" s="1" t="n">
        <v>46239</v>
      </c>
      <c r="F49" t="inlineStr">
        <is>
          <t>VÄSTMANLANDS LÄN</t>
        </is>
      </c>
      <c r="G49" t="inlineStr">
        <is>
          <t>SURAHAMMAR</t>
        </is>
      </c>
      <c r="H49" t="inlineStr">
        <is>
          <t>Bergvik skog väst AB</t>
        </is>
      </c>
      <c r="I49" t="n">
        <v>11.6</v>
      </c>
      <c r="J49" t="n">
        <v>2</v>
      </c>
      <c r="K49" t="n">
        <v>2</v>
      </c>
      <c r="L49" t="n">
        <v>0</v>
      </c>
      <c r="M49" t="n">
        <v>0</v>
      </c>
      <c r="N49" t="n">
        <v>0</v>
      </c>
      <c r="O49" t="n">
        <v>0</v>
      </c>
      <c r="P49" t="n">
        <v>0</v>
      </c>
      <c r="Q49" t="n">
        <v>0</v>
      </c>
      <c r="R49" t="n">
        <v>0</v>
      </c>
      <c r="S49" t="n">
        <v>3</v>
      </c>
      <c r="T49" t="n">
        <v>3</v>
      </c>
      <c r="U49" t="n">
        <v>1</v>
      </c>
      <c r="V49" s="2" t="inlineStr">
        <is>
          <t>Grönpyrola
Plattlummer
Lopplummer (aggregat)</t>
        </is>
      </c>
      <c r="W49">
        <f>HYPERLINK("https://klasma.github.io/Logging_1907/artfynd/A 4082-2025 artfynd.xlsx", "A 4082-2025")</f>
        <v/>
      </c>
      <c r="X49">
        <f>HYPERLINK("https://klasma.github.io/Logging_1907/kartor/A 4082-2025 karta.png", "A 4082-2025")</f>
        <v/>
      </c>
      <c r="Y49">
        <f>HYPERLINK("https://klasma.github.io/Logging_1907/kartor_geotiff/A 4082-2025 georefererad karta.tif", "A 4082-2025")</f>
        <v/>
      </c>
      <c r="AA49">
        <f>HYPERLINK("https://klasma.github.io/Logging_1907/klagomål/A 4082-2025 FSC-klagomål.docx", "A 4082-2025")</f>
        <v/>
      </c>
      <c r="AB49">
        <f>HYPERLINK("https://klasma.github.io/Logging_1907/klagomålsmail/A 4082-2025 FSC-klagomål mail.docx", "A 4082-2025")</f>
        <v/>
      </c>
      <c r="AC49">
        <f>HYPERLINK("https://klasma.github.io/Logging_1907/tillsyn/A 4082-2025 tillsynsbegäran.docx", "A 4082-2025")</f>
        <v/>
      </c>
      <c r="AD49">
        <f>HYPERLINK("https://klasma.github.io/Logging_1907/tillsynsmail/A 4082-2025 tillsynsbegäran mail.docx", "A 4082-2025")</f>
        <v/>
      </c>
    </row>
    <row r="50" ht="15" customHeight="1">
      <c r="A50" t="inlineStr">
        <is>
          <t>S 1450-2022</t>
        </is>
      </c>
      <c r="B50" t="inlineStr">
        <is>
          <t>samrådsanmälan</t>
        </is>
      </c>
      <c r="C50" t="inlineStr">
        <is>
          <t>Skogsgödsling</t>
        </is>
      </c>
      <c r="D50" s="1" t="n">
        <v>44635</v>
      </c>
      <c r="E50" s="1" t="n">
        <v>46239</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46239</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46239</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46239</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37013-2025</t>
        </is>
      </c>
      <c r="B54" t="inlineStr">
        <is>
          <t>avverkningsanmälan</t>
        </is>
      </c>
      <c r="C54" t="inlineStr">
        <is>
          <t>Föryngringsavverkning</t>
        </is>
      </c>
      <c r="D54" s="1" t="n">
        <v>45874</v>
      </c>
      <c r="E54" s="1" t="n">
        <v>46239</v>
      </c>
      <c r="F54" t="inlineStr">
        <is>
          <t>VÄSTMANLANDS LÄN</t>
        </is>
      </c>
      <c r="G54" t="inlineStr">
        <is>
          <t>SURAHAMMAR</t>
        </is>
      </c>
      <c r="H54" t="inlineStr">
        <is>
          <t>Bergvik skog väst AB</t>
        </is>
      </c>
      <c r="I54" t="n">
        <v>10.7</v>
      </c>
      <c r="J54" t="n">
        <v>0</v>
      </c>
      <c r="K54" t="n">
        <v>0</v>
      </c>
      <c r="L54" t="n">
        <v>0</v>
      </c>
      <c r="M54" t="n">
        <v>2</v>
      </c>
      <c r="N54" t="n">
        <v>0</v>
      </c>
      <c r="O54" t="n">
        <v>0</v>
      </c>
      <c r="P54" t="n">
        <v>0</v>
      </c>
      <c r="Q54" t="n">
        <v>2</v>
      </c>
      <c r="R54" t="n">
        <v>2</v>
      </c>
      <c r="S54" t="n">
        <v>2</v>
      </c>
      <c r="T54" t="n">
        <v>2</v>
      </c>
      <c r="U54" t="n">
        <v>0</v>
      </c>
      <c r="V54" s="2" t="inlineStr">
        <is>
          <t>Brunfläckig pärlemorfjäril
Fältgentiana</t>
        </is>
      </c>
      <c r="W54">
        <f>HYPERLINK("https://klasma.github.io/Logging_1907/artfynd/A 37013-2025 artfynd.xlsx", "A 37013-2025")</f>
        <v/>
      </c>
      <c r="X54">
        <f>HYPERLINK("https://klasma.github.io/Logging_1907/kartor/A 37013-2025 karta.png", "A 37013-2025")</f>
        <v/>
      </c>
      <c r="Y54">
        <f>HYPERLINK("https://klasma.github.io/Logging_1907/kartor_geotiff/A 37013-2025 georefererad karta.tif", "A 37013-2025")</f>
        <v/>
      </c>
      <c r="AA54">
        <f>HYPERLINK("https://klasma.github.io/Logging_1907/klagomål/A 37013-2025 FSC-klagomål.docx", "A 37013-2025")</f>
        <v/>
      </c>
      <c r="AB54">
        <f>HYPERLINK("https://klasma.github.io/Logging_1907/klagomålsmail/A 37013-2025 FSC-klagomål mail.docx", "A 37013-2025")</f>
        <v/>
      </c>
      <c r="AC54">
        <f>HYPERLINK("https://klasma.github.io/Logging_1907/tillsyn/A 37013-2025 tillsynsbegäran.docx", "A 37013-2025")</f>
        <v/>
      </c>
      <c r="AD54">
        <f>HYPERLINK("https://klasma.github.io/Logging_1907/tillsynsmail/A 37013-2025 tillsynsbegäran mail.docx", "A 37013-2025")</f>
        <v/>
      </c>
    </row>
    <row r="55" ht="15" customHeight="1">
      <c r="A55" t="inlineStr">
        <is>
          <t>A 11501-2023</t>
        </is>
      </c>
      <c r="B55" t="inlineStr">
        <is>
          <t>avverkningsanmälan</t>
        </is>
      </c>
      <c r="C55" t="inlineStr">
        <is>
          <t>Föryngringsavverkning</t>
        </is>
      </c>
      <c r="D55" s="1" t="n">
        <v>44991</v>
      </c>
      <c r="E55" s="1" t="n">
        <v>46239</v>
      </c>
      <c r="F55" t="inlineStr">
        <is>
          <t>VÄSTMANLANDS LÄN</t>
        </is>
      </c>
      <c r="G55" t="inlineStr">
        <is>
          <t>SURAHAMMAR</t>
        </is>
      </c>
      <c r="H55" t="inlineStr">
        <is>
          <t>Bergvik skog väst AB</t>
        </is>
      </c>
      <c r="I55" t="n">
        <v>1.1</v>
      </c>
      <c r="J55" t="n">
        <v>1</v>
      </c>
      <c r="K55" t="n">
        <v>1</v>
      </c>
      <c r="L55" t="n">
        <v>0</v>
      </c>
      <c r="M55" t="n">
        <v>0</v>
      </c>
      <c r="N55" t="n">
        <v>0</v>
      </c>
      <c r="O55" t="n">
        <v>0</v>
      </c>
      <c r="P55" t="n">
        <v>0</v>
      </c>
      <c r="Q55" t="n">
        <v>0</v>
      </c>
      <c r="R55" t="n">
        <v>0</v>
      </c>
      <c r="S55" t="n">
        <v>2</v>
      </c>
      <c r="T55" t="n">
        <v>2</v>
      </c>
      <c r="U55" t="n">
        <v>2</v>
      </c>
      <c r="V55" s="2" t="inlineStr">
        <is>
          <t>Svart trolldruva
Nattviol</t>
        </is>
      </c>
      <c r="W55">
        <f>HYPERLINK("https://klasma.github.io/Logging_1907/artfynd/A 11501-2023 artfynd.xlsx", "A 11501-2023")</f>
        <v/>
      </c>
      <c r="X55">
        <f>HYPERLINK("https://klasma.github.io/Logging_1907/kartor/A 11501-2023 karta.png", "A 11501-2023")</f>
        <v/>
      </c>
      <c r="Y55">
        <f>HYPERLINK("https://klasma.github.io/Logging_1907/kartor_geotiff/A 11501-2023 georefererad karta.tif", "A 11501-2023")</f>
        <v/>
      </c>
      <c r="AA55">
        <f>HYPERLINK("https://klasma.github.io/Logging_1907/klagomål/A 11501-2023 FSC-klagomål.docx", "A 11501-2023")</f>
        <v/>
      </c>
      <c r="AB55">
        <f>HYPERLINK("https://klasma.github.io/Logging_1907/klagomålsmail/A 11501-2023 FSC-klagomål mail.docx", "A 11501-2023")</f>
        <v/>
      </c>
      <c r="AC55">
        <f>HYPERLINK("https://klasma.github.io/Logging_1907/tillsyn/A 11501-2023 tillsynsbegäran.docx", "A 11501-2023")</f>
        <v/>
      </c>
      <c r="AD55">
        <f>HYPERLINK("https://klasma.github.io/Logging_1907/tillsynsmail/A 11501-2023 tillsynsbegäran mail.docx", "A 11501-2023")</f>
        <v/>
      </c>
    </row>
    <row r="56" ht="15" customHeight="1">
      <c r="A56" t="inlineStr">
        <is>
          <t>A 14001-2023</t>
        </is>
      </c>
      <c r="B56" t="inlineStr">
        <is>
          <t>avverkningsanmälan</t>
        </is>
      </c>
      <c r="C56" t="inlineStr">
        <is>
          <t>Föryngringsavverkning</t>
        </is>
      </c>
      <c r="D56" s="1" t="n">
        <v>45007</v>
      </c>
      <c r="E56" s="1" t="n">
        <v>46239</v>
      </c>
      <c r="F56" t="inlineStr">
        <is>
          <t>VÄSTMANLANDS LÄN</t>
        </is>
      </c>
      <c r="G56" t="inlineStr">
        <is>
          <t>SURAHAMMAR</t>
        </is>
      </c>
      <c r="H56" t="inlineStr">
        <is>
          <t>Bergvik skog väst AB</t>
        </is>
      </c>
      <c r="I56" t="n">
        <v>1</v>
      </c>
      <c r="J56" t="n">
        <v>0</v>
      </c>
      <c r="K56" t="n">
        <v>0</v>
      </c>
      <c r="L56" t="n">
        <v>1</v>
      </c>
      <c r="M56" t="n">
        <v>1</v>
      </c>
      <c r="N56" t="n">
        <v>0</v>
      </c>
      <c r="O56" t="n">
        <v>0</v>
      </c>
      <c r="P56" t="n">
        <v>0</v>
      </c>
      <c r="Q56" t="n">
        <v>2</v>
      </c>
      <c r="R56" t="n">
        <v>1</v>
      </c>
      <c r="S56" t="n">
        <v>2</v>
      </c>
      <c r="T56" t="n">
        <v>2</v>
      </c>
      <c r="U56" t="n">
        <v>0</v>
      </c>
      <c r="V56" s="2" t="inlineStr">
        <is>
          <t>Garnlav
Motaggsvamp</t>
        </is>
      </c>
      <c r="W56">
        <f>HYPERLINK("https://klasma.github.io/Logging_1907/artfynd/A 14001-2023 artfynd.xlsx", "A 14001-2023")</f>
        <v/>
      </c>
      <c r="X56">
        <f>HYPERLINK("https://klasma.github.io/Logging_1907/kartor/A 14001-2023 karta.png", "A 14001-2023")</f>
        <v/>
      </c>
      <c r="Y56">
        <f>HYPERLINK("https://klasma.github.io/Logging_1907/kartor_geotiff/A 14001-2023 georefererad karta.tif", "A 14001-2023")</f>
        <v/>
      </c>
      <c r="AA56">
        <f>HYPERLINK("https://klasma.github.io/Logging_1907/klagomål/A 14001-2023 FSC-klagomål.docx", "A 14001-2023")</f>
        <v/>
      </c>
      <c r="AB56">
        <f>HYPERLINK("https://klasma.github.io/Logging_1907/klagomålsmail/A 14001-2023 FSC-klagomål mail.docx", "A 14001-2023")</f>
        <v/>
      </c>
      <c r="AC56">
        <f>HYPERLINK("https://klasma.github.io/Logging_1907/tillsyn/A 14001-2023 tillsynsbegäran.docx", "A 14001-2023")</f>
        <v/>
      </c>
      <c r="AD56">
        <f>HYPERLINK("https://klasma.github.io/Logging_1907/tillsynsmail/A 14001-2023 tillsynsbegäran mail.docx", "A 14001-2023")</f>
        <v/>
      </c>
    </row>
    <row r="57" ht="15" customHeight="1">
      <c r="A57" t="inlineStr">
        <is>
          <t>A 40403-2025</t>
        </is>
      </c>
      <c r="B57" t="inlineStr">
        <is>
          <t>avverkningsanmälan</t>
        </is>
      </c>
      <c r="C57" t="inlineStr">
        <is>
          <t>Föryngringsavverkning</t>
        </is>
      </c>
      <c r="D57" s="1" t="n">
        <v>45895</v>
      </c>
      <c r="E57" s="1" t="n">
        <v>46239</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47453-2024</t>
        </is>
      </c>
      <c r="B58" t="inlineStr">
        <is>
          <t>avverkningsanmälan</t>
        </is>
      </c>
      <c r="C58" t="inlineStr">
        <is>
          <t>Föryngringsavverkning</t>
        </is>
      </c>
      <c r="D58" s="1" t="n">
        <v>45587</v>
      </c>
      <c r="E58" s="1" t="n">
        <v>46239</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41204-2023</t>
        </is>
      </c>
      <c r="B59" t="inlineStr">
        <is>
          <t>avverkningsanmälan</t>
        </is>
      </c>
      <c r="C59" t="inlineStr">
        <is>
          <t>Föryngringsavverkning</t>
        </is>
      </c>
      <c r="D59" s="1" t="n">
        <v>45174</v>
      </c>
      <c r="E59" s="1" t="n">
        <v>46239</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13788-2025</t>
        </is>
      </c>
      <c r="B60" t="inlineStr">
        <is>
          <t>avverkningsanmälan</t>
        </is>
      </c>
      <c r="C60" t="inlineStr">
        <is>
          <t>Föryngringsavverkning</t>
        </is>
      </c>
      <c r="D60" s="1" t="n">
        <v>45737</v>
      </c>
      <c r="E60" s="1" t="n">
        <v>46239</v>
      </c>
      <c r="F60" t="inlineStr">
        <is>
          <t>VÄSTMANLANDS LÄN</t>
        </is>
      </c>
      <c r="G60" t="inlineStr">
        <is>
          <t>SURAHAMMAR</t>
        </is>
      </c>
      <c r="I60" t="n">
        <v>9.699999999999999</v>
      </c>
      <c r="J60" t="n">
        <v>2</v>
      </c>
      <c r="K60" t="n">
        <v>0</v>
      </c>
      <c r="L60" t="n">
        <v>1</v>
      </c>
      <c r="M60" t="n">
        <v>0</v>
      </c>
      <c r="N60" t="n">
        <v>0</v>
      </c>
      <c r="O60" t="n">
        <v>0</v>
      </c>
      <c r="P60" t="n">
        <v>0</v>
      </c>
      <c r="Q60" t="n">
        <v>1</v>
      </c>
      <c r="R60" t="n">
        <v>0</v>
      </c>
      <c r="S60" t="n">
        <v>2</v>
      </c>
      <c r="T60" t="n">
        <v>2</v>
      </c>
      <c r="U60" t="n">
        <v>2</v>
      </c>
      <c r="V60" s="2" t="inlineStr">
        <is>
          <t>Sparvuggla
Nattskärra</t>
        </is>
      </c>
      <c r="W60">
        <f>HYPERLINK("https://klasma.github.io/Logging_1907/artfynd/A 13788-2025 artfynd.xlsx", "A 13788-2025")</f>
        <v/>
      </c>
      <c r="X60">
        <f>HYPERLINK("https://klasma.github.io/Logging_1907/kartor/A 13788-2025 karta.png", "A 13788-2025")</f>
        <v/>
      </c>
      <c r="Y60">
        <f>HYPERLINK("https://klasma.github.io/Logging_1907/kartor_geotiff/A 13788-2025 georefererad karta.tif", "A 13788-2025")</f>
        <v/>
      </c>
      <c r="AA60">
        <f>HYPERLINK("https://klasma.github.io/Logging_1907/klagomål/A 13788-2025 FSC-klagomål.docx", "A 13788-2025")</f>
        <v/>
      </c>
      <c r="AB60">
        <f>HYPERLINK("https://klasma.github.io/Logging_1907/klagomålsmail/A 13788-2025 FSC-klagomål mail.docx", "A 13788-2025")</f>
        <v/>
      </c>
      <c r="AC60">
        <f>HYPERLINK("https://klasma.github.io/Logging_1907/tillsyn/A 13788-2025 tillsynsbegäran.docx", "A 13788-2025")</f>
        <v/>
      </c>
      <c r="AD60">
        <f>HYPERLINK("https://klasma.github.io/Logging_1907/tillsynsmail/A 13788-2025 tillsynsbegäran mail.docx", "A 13788-2025")</f>
        <v/>
      </c>
      <c r="AE60">
        <f>HYPERLINK("https://klasma.github.io/Logging_1907/fåglar/A 13788-2025 prioriterade fågelarter.docx", "A 13788-2025")</f>
        <v/>
      </c>
    </row>
    <row r="61" ht="15" customHeight="1">
      <c r="A61" t="inlineStr">
        <is>
          <t>A 63138-2025</t>
        </is>
      </c>
      <c r="B61" t="inlineStr">
        <is>
          <t>avverkningsanmälan</t>
        </is>
      </c>
      <c r="C61" t="inlineStr">
        <is>
          <t>Föryngringsavverkning</t>
        </is>
      </c>
      <c r="D61" s="1" t="n">
        <v>46009</v>
      </c>
      <c r="E61" s="1" t="n">
        <v>46239</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30074-2023</t>
        </is>
      </c>
      <c r="B62" t="inlineStr">
        <is>
          <t>avverkningsanmälan</t>
        </is>
      </c>
      <c r="C62" t="inlineStr">
        <is>
          <t>Föryngringsavverkning</t>
        </is>
      </c>
      <c r="D62" s="1" t="n">
        <v>45110</v>
      </c>
      <c r="E62" s="1" t="n">
        <v>46239</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t="n">
        <v>0</v>
      </c>
      <c r="V62" s="2" t="inlineStr">
        <is>
          <t>Grönpyrola
Revlummer</t>
        </is>
      </c>
      <c r="W62">
        <f>HYPERLINK("https://klasma.github.io/Logging_1907/artfynd/A 30074-2023 artfynd.xlsx", "A 30074-2023")</f>
        <v/>
      </c>
      <c r="X62">
        <f>HYPERLINK("https://klasma.github.io/Logging_1907/kartor/A 30074-2023 karta.png", "A 30074-2023")</f>
        <v/>
      </c>
      <c r="Y62">
        <f>HYPERLINK("https://klasma.github.io/Logging_1907/kartor_geotiff/A 30074-2023 georefererad karta.tif", "A 30074-2023")</f>
        <v/>
      </c>
      <c r="AA62">
        <f>HYPERLINK("https://klasma.github.io/Logging_1907/klagomål/A 30074-2023 FSC-klagomål.docx", "A 30074-2023")</f>
        <v/>
      </c>
      <c r="AB62">
        <f>HYPERLINK("https://klasma.github.io/Logging_1907/klagomålsmail/A 30074-2023 FSC-klagomål mail.docx", "A 30074-2023")</f>
        <v/>
      </c>
      <c r="AC62">
        <f>HYPERLINK("https://klasma.github.io/Logging_1907/tillsyn/A 30074-2023 tillsynsbegäran.docx", "A 30074-2023")</f>
        <v/>
      </c>
      <c r="AD62">
        <f>HYPERLINK("https://klasma.github.io/Logging_1907/tillsynsmail/A 30074-2023 tillsynsbegäran mail.docx", "A 30074-2023")</f>
        <v/>
      </c>
    </row>
    <row r="63" ht="15" customHeight="1">
      <c r="A63" t="inlineStr">
        <is>
          <t>A 13971-2023</t>
        </is>
      </c>
      <c r="B63" t="inlineStr">
        <is>
          <t>avverkningsanmälan</t>
        </is>
      </c>
      <c r="C63" t="inlineStr">
        <is>
          <t>Föryngringsavverkning</t>
        </is>
      </c>
      <c r="D63" s="1" t="n">
        <v>45007</v>
      </c>
      <c r="E63" s="1" t="n">
        <v>46239</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46239</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46239</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46239</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46239</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46239</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17632-2022</t>
        </is>
      </c>
      <c r="B69" t="inlineStr">
        <is>
          <t>avverkningsanmälan</t>
        </is>
      </c>
      <c r="C69" t="inlineStr">
        <is>
          <t>Föryngringsavverkning</t>
        </is>
      </c>
      <c r="D69" s="1" t="n">
        <v>44680</v>
      </c>
      <c r="E69" s="1" t="n">
        <v>46239</v>
      </c>
      <c r="F69" t="inlineStr">
        <is>
          <t>VÄSTMANLANDS LÄN</t>
        </is>
      </c>
      <c r="G69" t="inlineStr">
        <is>
          <t>SURAHAMMAR</t>
        </is>
      </c>
      <c r="I69" t="n">
        <v>5.2</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HYPERLINK("https://klasma.github.io/Logging_1907/artfynd/A 17632-2022 artfynd.xlsx", "A 17632-2022")</f>
        <v/>
      </c>
      <c r="X69">
        <f>HYPERLINK("https://klasma.github.io/Logging_1907/kartor/A 17632-2022 karta.png", "A 17632-2022")</f>
        <v/>
      </c>
      <c r="Y69">
        <f>HYPERLINK("https://klasma.github.io/Logging_1907/kartor_geotiff/A 17632-2022 georefererad karta.tif", "A 17632-2022")</f>
        <v/>
      </c>
      <c r="AA69">
        <f>HYPERLINK("https://klasma.github.io/Logging_1907/klagomål/A 17632-2022 FSC-klagomål.docx", "A 17632-2022")</f>
        <v/>
      </c>
      <c r="AB69">
        <f>HYPERLINK("https://klasma.github.io/Logging_1907/klagomålsmail/A 17632-2022 FSC-klagomål mail.docx", "A 17632-2022")</f>
        <v/>
      </c>
      <c r="AC69">
        <f>HYPERLINK("https://klasma.github.io/Logging_1907/tillsyn/A 17632-2022 tillsynsbegäran.docx", "A 17632-2022")</f>
        <v/>
      </c>
      <c r="AD69">
        <f>HYPERLINK("https://klasma.github.io/Logging_1907/tillsynsmail/A 17632-2022 tillsynsbegäran mail.docx", "A 17632-2022")</f>
        <v/>
      </c>
    </row>
    <row r="70" ht="15" customHeight="1">
      <c r="A70" t="inlineStr">
        <is>
          <t>A 34584-2025</t>
        </is>
      </c>
      <c r="B70" t="inlineStr">
        <is>
          <t>avverkningsanmälan</t>
        </is>
      </c>
      <c r="C70" t="inlineStr">
        <is>
          <t>Föryngringsavverkning</t>
        </is>
      </c>
      <c r="D70" s="1" t="n">
        <v>45846</v>
      </c>
      <c r="E70" s="1" t="n">
        <v>46239</v>
      </c>
      <c r="F70" t="inlineStr">
        <is>
          <t>VÄSTMANLANDS LÄN</t>
        </is>
      </c>
      <c r="G70" t="inlineStr">
        <is>
          <t>SURAHAMMAR</t>
        </is>
      </c>
      <c r="H70" t="inlineStr">
        <is>
          <t>Bergvik skog väst AB</t>
        </is>
      </c>
      <c r="I70" t="n">
        <v>2.7</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HYPERLINK("https://klasma.github.io/Logging_1907/artfynd/A 34584-2025 artfynd.xlsx", "A 34584-2025")</f>
        <v/>
      </c>
      <c r="X70">
        <f>HYPERLINK("https://klasma.github.io/Logging_1907/kartor/A 34584-2025 karta.png", "A 34584-2025")</f>
        <v/>
      </c>
      <c r="Y70">
        <f>HYPERLINK("https://klasma.github.io/Logging_1907/kartor_geotiff/A 34584-2025 georefererad karta.tif", "A 34584-2025")</f>
        <v/>
      </c>
      <c r="AA70">
        <f>HYPERLINK("https://klasma.github.io/Logging_1907/klagomål/A 34584-2025 FSC-klagomål.docx", "A 34584-2025")</f>
        <v/>
      </c>
      <c r="AB70">
        <f>HYPERLINK("https://klasma.github.io/Logging_1907/klagomålsmail/A 34584-2025 FSC-klagomål mail.docx", "A 34584-2025")</f>
        <v/>
      </c>
      <c r="AC70">
        <f>HYPERLINK("https://klasma.github.io/Logging_1907/tillsyn/A 34584-2025 tillsynsbegäran.docx", "A 34584-2025")</f>
        <v/>
      </c>
      <c r="AD70">
        <f>HYPERLINK("https://klasma.github.io/Logging_1907/tillsynsmail/A 34584-2025 tillsynsbegäran mail.docx", "A 34584-2025")</f>
        <v/>
      </c>
      <c r="AE70">
        <f>HYPERLINK("https://klasma.github.io/Logging_1907/fåglar/A 34584-2025 prioriterade fågelarter.docx", "A 34584-2025")</f>
        <v/>
      </c>
    </row>
    <row r="71" ht="15" customHeight="1">
      <c r="A71" t="inlineStr">
        <is>
          <t>A 39099-2022</t>
        </is>
      </c>
      <c r="B71" t="inlineStr">
        <is>
          <t>avverkningsanmälan</t>
        </is>
      </c>
      <c r="C71" t="inlineStr">
        <is>
          <t>Föryngringsavverkning</t>
        </is>
      </c>
      <c r="D71" s="1" t="n">
        <v>44817</v>
      </c>
      <c r="E71" s="1" t="n">
        <v>46239</v>
      </c>
      <c r="F71" t="inlineStr">
        <is>
          <t>VÄSTMANLANDS LÄN</t>
        </is>
      </c>
      <c r="G71" t="inlineStr">
        <is>
          <t>SURAHAMMAR</t>
        </is>
      </c>
      <c r="H71" t="inlineStr">
        <is>
          <t>Bergvik skog väst AB</t>
        </is>
      </c>
      <c r="I71" t="n">
        <v>7.4</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HYPERLINK("https://klasma.github.io/Logging_1907/artfynd/A 39099-2022 artfynd.xlsx", "A 39099-2022")</f>
        <v/>
      </c>
      <c r="X71">
        <f>HYPERLINK("https://klasma.github.io/Logging_1907/kartor/A 39099-2022 karta.png", "A 39099-2022")</f>
        <v/>
      </c>
      <c r="Y71">
        <f>HYPERLINK("https://klasma.github.io/Logging_1907/kartor_geotiff/A 39099-2022 georefererad karta.tif", "A 39099-2022")</f>
        <v/>
      </c>
      <c r="AA71">
        <f>HYPERLINK("https://klasma.github.io/Logging_1907/klagomål/A 39099-2022 FSC-klagomål.docx", "A 39099-2022")</f>
        <v/>
      </c>
      <c r="AB71">
        <f>HYPERLINK("https://klasma.github.io/Logging_1907/klagomålsmail/A 39099-2022 FSC-klagomål mail.docx", "A 39099-2022")</f>
        <v/>
      </c>
      <c r="AC71">
        <f>HYPERLINK("https://klasma.github.io/Logging_1907/tillsyn/A 39099-2022 tillsynsbegäran.docx", "A 39099-2022")</f>
        <v/>
      </c>
      <c r="AD71">
        <f>HYPERLINK("https://klasma.github.io/Logging_1907/tillsynsmail/A 39099-2022 tillsynsbegäran mail.docx", "A 39099-2022")</f>
        <v/>
      </c>
    </row>
    <row r="72" ht="15" customHeight="1">
      <c r="A72" t="inlineStr">
        <is>
          <t>A 16013-2023</t>
        </is>
      </c>
      <c r="B72" t="inlineStr">
        <is>
          <t>avverkningsanmälan</t>
        </is>
      </c>
      <c r="C72" t="inlineStr">
        <is>
          <t>Föryngringsavverkning</t>
        </is>
      </c>
      <c r="D72" s="1" t="n">
        <v>45026</v>
      </c>
      <c r="E72" s="1" t="n">
        <v>46239</v>
      </c>
      <c r="F72" t="inlineStr">
        <is>
          <t>VÄSTMANLANDS LÄN</t>
        </is>
      </c>
      <c r="G72" t="inlineStr">
        <is>
          <t>SURAHAMMAR</t>
        </is>
      </c>
      <c r="I72" t="n">
        <v>3.9</v>
      </c>
      <c r="J72" t="n">
        <v>0</v>
      </c>
      <c r="K72" t="n">
        <v>0</v>
      </c>
      <c r="L72" t="n">
        <v>0</v>
      </c>
      <c r="M72" t="n">
        <v>1</v>
      </c>
      <c r="N72" t="n">
        <v>0</v>
      </c>
      <c r="O72" t="n">
        <v>0</v>
      </c>
      <c r="P72" t="n">
        <v>0</v>
      </c>
      <c r="Q72" t="n">
        <v>1</v>
      </c>
      <c r="R72" t="n">
        <v>1</v>
      </c>
      <c r="S72" t="n">
        <v>1</v>
      </c>
      <c r="T72" t="n">
        <v>1</v>
      </c>
      <c r="U72" t="n">
        <v>0</v>
      </c>
      <c r="V72" s="2" t="inlineStr">
        <is>
          <t>Garnlav</t>
        </is>
      </c>
      <c r="W72">
        <f>HYPERLINK("https://klasma.github.io/Logging_1907/artfynd/A 16013-2023 artfynd.xlsx", "A 16013-2023")</f>
        <v/>
      </c>
      <c r="X72">
        <f>HYPERLINK("https://klasma.github.io/Logging_1907/kartor/A 16013-2023 karta.png", "A 16013-2023")</f>
        <v/>
      </c>
      <c r="Y72">
        <f>HYPERLINK("https://klasma.github.io/Logging_1907/kartor_geotiff/A 16013-2023 georefererad karta.tif", "A 16013-2023")</f>
        <v/>
      </c>
      <c r="AA72">
        <f>HYPERLINK("https://klasma.github.io/Logging_1907/klagomål/A 16013-2023 FSC-klagomål.docx", "A 16013-2023")</f>
        <v/>
      </c>
      <c r="AB72">
        <f>HYPERLINK("https://klasma.github.io/Logging_1907/klagomålsmail/A 16013-2023 FSC-klagomål mail.docx", "A 16013-2023")</f>
        <v/>
      </c>
      <c r="AC72">
        <f>HYPERLINK("https://klasma.github.io/Logging_1907/tillsyn/A 16013-2023 tillsynsbegäran.docx", "A 16013-2023")</f>
        <v/>
      </c>
      <c r="AD72">
        <f>HYPERLINK("https://klasma.github.io/Logging_1907/tillsynsmail/A 16013-2023 tillsynsbegäran mail.docx", "A 16013-2023")</f>
        <v/>
      </c>
    </row>
    <row r="73" ht="15" customHeight="1">
      <c r="A73" t="inlineStr">
        <is>
          <t>A 34955-2022</t>
        </is>
      </c>
      <c r="B73" t="inlineStr">
        <is>
          <t>avverkningsanmälan</t>
        </is>
      </c>
      <c r="C73" t="inlineStr">
        <is>
          <t>Föryngringsavverkning</t>
        </is>
      </c>
      <c r="D73" s="1" t="n">
        <v>44796</v>
      </c>
      <c r="E73" s="1" t="n">
        <v>46239</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8553-2023</t>
        </is>
      </c>
      <c r="B74" t="inlineStr">
        <is>
          <t>avverkningsanmälan</t>
        </is>
      </c>
      <c r="C74" t="inlineStr">
        <is>
          <t>Avverkning för att bevara och utveckla /försöksver</t>
        </is>
      </c>
      <c r="D74" s="1" t="n">
        <v>44977</v>
      </c>
      <c r="E74" s="1" t="n">
        <v>46239</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31589-2026</t>
        </is>
      </c>
      <c r="B75" t="inlineStr">
        <is>
          <t>avverkningsanmälan</t>
        </is>
      </c>
      <c r="C75" t="inlineStr">
        <is>
          <t>Föryngringsavverkning</t>
        </is>
      </c>
      <c r="D75" s="1" t="n">
        <v>46224</v>
      </c>
      <c r="E75" s="1" t="n">
        <v>46239</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33231-2024</t>
        </is>
      </c>
      <c r="B76" t="inlineStr">
        <is>
          <t>avverkningsanmälan</t>
        </is>
      </c>
      <c r="C76" t="inlineStr">
        <is>
          <t>Föryngringsavverkning</t>
        </is>
      </c>
      <c r="D76" s="1" t="n">
        <v>45518</v>
      </c>
      <c r="E76" s="1" t="n">
        <v>46239</v>
      </c>
      <c r="F76" t="inlineStr">
        <is>
          <t>VÄSTMANLANDS LÄN</t>
        </is>
      </c>
      <c r="G76" t="inlineStr">
        <is>
          <t>SURAHAMMAR</t>
        </is>
      </c>
      <c r="H76" t="inlineStr">
        <is>
          <t>Bergvik skog väst AB</t>
        </is>
      </c>
      <c r="I76" t="n">
        <v>1.5</v>
      </c>
      <c r="J76" t="n">
        <v>1</v>
      </c>
      <c r="K76" t="n">
        <v>0</v>
      </c>
      <c r="L76" t="n">
        <v>0</v>
      </c>
      <c r="M76" t="n">
        <v>0</v>
      </c>
      <c r="N76" t="n">
        <v>0</v>
      </c>
      <c r="O76" t="n">
        <v>0</v>
      </c>
      <c r="P76" t="n">
        <v>0</v>
      </c>
      <c r="Q76" t="n">
        <v>0</v>
      </c>
      <c r="R76" t="n">
        <v>0</v>
      </c>
      <c r="S76" t="n">
        <v>1</v>
      </c>
      <c r="T76" t="n">
        <v>1</v>
      </c>
      <c r="U76" t="n">
        <v>1</v>
      </c>
      <c r="V76" s="2" t="inlineStr">
        <is>
          <t>Mindre vattensalamander</t>
        </is>
      </c>
      <c r="W76">
        <f>HYPERLINK("https://klasma.github.io/Logging_1907/artfynd/A 33231-2024 artfynd.xlsx", "A 33231-2024")</f>
        <v/>
      </c>
      <c r="X76">
        <f>HYPERLINK("https://klasma.github.io/Logging_1907/kartor/A 33231-2024 karta.png", "A 33231-2024")</f>
        <v/>
      </c>
      <c r="Y76">
        <f>HYPERLINK("https://klasma.github.io/Logging_1907/kartor_geotiff/A 33231-2024 georefererad karta.tif", "A 33231-2024")</f>
        <v/>
      </c>
      <c r="AA76">
        <f>HYPERLINK("https://klasma.github.io/Logging_1907/klagomål/A 33231-2024 FSC-klagomål.docx", "A 33231-2024")</f>
        <v/>
      </c>
      <c r="AB76">
        <f>HYPERLINK("https://klasma.github.io/Logging_1907/klagomålsmail/A 33231-2024 FSC-klagomål mail.docx", "A 33231-2024")</f>
        <v/>
      </c>
      <c r="AC76">
        <f>HYPERLINK("https://klasma.github.io/Logging_1907/tillsyn/A 33231-2024 tillsynsbegäran.docx", "A 33231-2024")</f>
        <v/>
      </c>
      <c r="AD76">
        <f>HYPERLINK("https://klasma.github.io/Logging_1907/tillsynsmail/A 33231-2024 tillsynsbegäran mail.docx", "A 33231-2024")</f>
        <v/>
      </c>
    </row>
    <row r="77" ht="15" customHeight="1">
      <c r="A77" t="inlineStr">
        <is>
          <t>A 30076-2023</t>
        </is>
      </c>
      <c r="B77" t="inlineStr">
        <is>
          <t>avverkningsanmälan</t>
        </is>
      </c>
      <c r="C77" t="inlineStr">
        <is>
          <t>Föryngringsavverkning</t>
        </is>
      </c>
      <c r="D77" s="1" t="n">
        <v>45110</v>
      </c>
      <c r="E77" s="1" t="n">
        <v>46239</v>
      </c>
      <c r="F77" t="inlineStr">
        <is>
          <t>VÄSTMANLANDS LÄN</t>
        </is>
      </c>
      <c r="G77" t="inlineStr">
        <is>
          <t>SURAHAMMAR</t>
        </is>
      </c>
      <c r="H77" t="inlineStr">
        <is>
          <t>Sveaskog</t>
        </is>
      </c>
      <c r="I77" t="n">
        <v>1.1</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HYPERLINK("https://klasma.github.io/Logging_1907/artfynd/A 30076-2023 artfynd.xlsx", "A 30076-2023")</f>
        <v/>
      </c>
      <c r="X77">
        <f>HYPERLINK("https://klasma.github.io/Logging_1907/kartor/A 30076-2023 karta.png", "A 30076-2023")</f>
        <v/>
      </c>
      <c r="Y77">
        <f>HYPERLINK("https://klasma.github.io/Logging_1907/kartor_geotiff/A 30076-2023 georefererad karta.tif", "A 30076-2023")</f>
        <v/>
      </c>
      <c r="AA77">
        <f>HYPERLINK("https://klasma.github.io/Logging_1907/klagomål/A 30076-2023 FSC-klagomål.docx", "A 30076-2023")</f>
        <v/>
      </c>
      <c r="AB77">
        <f>HYPERLINK("https://klasma.github.io/Logging_1907/klagomålsmail/A 30076-2023 FSC-klagomål mail.docx", "A 30076-2023")</f>
        <v/>
      </c>
      <c r="AC77">
        <f>HYPERLINK("https://klasma.github.io/Logging_1907/tillsyn/A 30076-2023 tillsynsbegäran.docx", "A 30076-2023")</f>
        <v/>
      </c>
      <c r="AD77">
        <f>HYPERLINK("https://klasma.github.io/Logging_1907/tillsynsmail/A 30076-2023 tillsynsbegäran mail.docx", "A 30076-2023")</f>
        <v/>
      </c>
    </row>
    <row r="78" ht="15" customHeight="1">
      <c r="A78" t="inlineStr">
        <is>
          <t>A 47785-2021</t>
        </is>
      </c>
      <c r="B78" t="inlineStr">
        <is>
          <t>avverkningsanmälan</t>
        </is>
      </c>
      <c r="C78" t="inlineStr">
        <is>
          <t>Föryngringsavverkning</t>
        </is>
      </c>
      <c r="D78" s="1" t="n">
        <v>44448</v>
      </c>
      <c r="E78" s="1" t="n">
        <v>46239</v>
      </c>
      <c r="F78" t="inlineStr">
        <is>
          <t>VÄSTMANLANDS LÄN</t>
        </is>
      </c>
      <c r="G78" t="inlineStr">
        <is>
          <t>SURAHAMMAR</t>
        </is>
      </c>
      <c r="H78" t="inlineStr">
        <is>
          <t>Kommuner</t>
        </is>
      </c>
      <c r="I78" t="n">
        <v>3.3</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HYPERLINK("https://klasma.github.io/Logging_1907/artfynd/A 47785-2021 artfynd.xlsx", "A 47785-2021")</f>
        <v/>
      </c>
      <c r="X78">
        <f>HYPERLINK("https://klasma.github.io/Logging_1907/kartor/A 47785-2021 karta.png", "A 47785-2021")</f>
        <v/>
      </c>
      <c r="Y78">
        <f>HYPERLINK("https://klasma.github.io/Logging_1907/kartor_geotiff/A 47785-2021 georefererad karta.tif", "A 47785-2021")</f>
        <v/>
      </c>
      <c r="AA78">
        <f>HYPERLINK("https://klasma.github.io/Logging_1907/klagomål/A 47785-2021 FSC-klagomål.docx", "A 47785-2021")</f>
        <v/>
      </c>
      <c r="AB78">
        <f>HYPERLINK("https://klasma.github.io/Logging_1907/klagomålsmail/A 47785-2021 FSC-klagomål mail.docx", "A 47785-2021")</f>
        <v/>
      </c>
      <c r="AC78">
        <f>HYPERLINK("https://klasma.github.io/Logging_1907/tillsyn/A 47785-2021 tillsynsbegäran.docx", "A 47785-2021")</f>
        <v/>
      </c>
      <c r="AD78">
        <f>HYPERLINK("https://klasma.github.io/Logging_1907/tillsynsmail/A 47785-2021 tillsynsbegäran mail.docx", "A 47785-2021")</f>
        <v/>
      </c>
    </row>
    <row r="79" ht="15" customHeight="1">
      <c r="A79" t="inlineStr">
        <is>
          <t>A 10883-2023</t>
        </is>
      </c>
      <c r="B79" t="inlineStr">
        <is>
          <t>avverkningsanmälan</t>
        </is>
      </c>
      <c r="C79" t="inlineStr">
        <is>
          <t>Föryngringsavverkning</t>
        </is>
      </c>
      <c r="D79" s="1" t="n">
        <v>44991</v>
      </c>
      <c r="E79" s="1" t="n">
        <v>46239</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24167-2024</t>
        </is>
      </c>
      <c r="B80" t="inlineStr">
        <is>
          <t>avverkningsanmälan</t>
        </is>
      </c>
      <c r="C80" t="inlineStr">
        <is>
          <t>Avverkning för annat ändamål</t>
        </is>
      </c>
      <c r="D80" s="1" t="n">
        <v>45456</v>
      </c>
      <c r="E80" s="1" t="n">
        <v>46239</v>
      </c>
      <c r="F80" t="inlineStr">
        <is>
          <t>VÄSTMANLANDS LÄN</t>
        </is>
      </c>
      <c r="G80" t="inlineStr">
        <is>
          <t>SURAHAMMAR</t>
        </is>
      </c>
      <c r="I80" t="n">
        <v>0.6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HYPERLINK("https://klasma.github.io/Logging_1907/artfynd/A 24167-2024 artfynd.xlsx", "A 24167-2024")</f>
        <v/>
      </c>
      <c r="X80">
        <f>HYPERLINK("https://klasma.github.io/Logging_1907/kartor/A 24167-2024 karta.png", "A 24167-2024")</f>
        <v/>
      </c>
      <c r="Y80">
        <f>HYPERLINK("https://klasma.github.io/Logging_1907/kartor_geotiff/A 24167-2024 georefererad karta.tif", "A 24167-2024")</f>
        <v/>
      </c>
      <c r="AA80">
        <f>HYPERLINK("https://klasma.github.io/Logging_1907/klagomål/A 24167-2024 FSC-klagomål.docx", "A 24167-2024")</f>
        <v/>
      </c>
      <c r="AB80">
        <f>HYPERLINK("https://klasma.github.io/Logging_1907/klagomålsmail/A 24167-2024 FSC-klagomål mail.docx", "A 24167-2024")</f>
        <v/>
      </c>
      <c r="AC80">
        <f>HYPERLINK("https://klasma.github.io/Logging_1907/tillsyn/A 24167-2024 tillsynsbegäran.docx", "A 24167-2024")</f>
        <v/>
      </c>
      <c r="AD80">
        <f>HYPERLINK("https://klasma.github.io/Logging_1907/tillsynsmail/A 24167-2024 tillsynsbegäran mail.docx", "A 24167-2024")</f>
        <v/>
      </c>
    </row>
    <row r="81" ht="15" customHeight="1">
      <c r="A81" t="inlineStr">
        <is>
          <t>A 37287-2023</t>
        </is>
      </c>
      <c r="B81" t="inlineStr">
        <is>
          <t>avverkningsanmälan</t>
        </is>
      </c>
      <c r="C81" t="inlineStr">
        <is>
          <t>Föryngringsavverkning</t>
        </is>
      </c>
      <c r="D81" s="1" t="n">
        <v>45156</v>
      </c>
      <c r="E81" s="1" t="n">
        <v>46239</v>
      </c>
      <c r="F81" t="inlineStr">
        <is>
          <t>VÄSTMANLANDS LÄN</t>
        </is>
      </c>
      <c r="G81" t="inlineStr">
        <is>
          <t>SURAHAMMAR</t>
        </is>
      </c>
      <c r="I81" t="n">
        <v>0.6</v>
      </c>
      <c r="J81" t="n">
        <v>0</v>
      </c>
      <c r="K81" t="n">
        <v>0</v>
      </c>
      <c r="L81" t="n">
        <v>1</v>
      </c>
      <c r="M81" t="n">
        <v>0</v>
      </c>
      <c r="N81" t="n">
        <v>0</v>
      </c>
      <c r="O81" t="n">
        <v>0</v>
      </c>
      <c r="P81" t="n">
        <v>0</v>
      </c>
      <c r="Q81" t="n">
        <v>1</v>
      </c>
      <c r="R81" t="n">
        <v>0</v>
      </c>
      <c r="S81" t="n">
        <v>1</v>
      </c>
      <c r="T81" t="n">
        <v>1</v>
      </c>
      <c r="U81" t="n">
        <v>0</v>
      </c>
      <c r="V81" s="2" t="inlineStr">
        <is>
          <t>Mindre tåtelsmygare</t>
        </is>
      </c>
      <c r="W81">
        <f>HYPERLINK("https://klasma.github.io/Logging_1907/artfynd/A 37287-2023 artfynd.xlsx", "A 37287-2023")</f>
        <v/>
      </c>
      <c r="X81">
        <f>HYPERLINK("https://klasma.github.io/Logging_1907/kartor/A 37287-2023 karta.png", "A 37287-2023")</f>
        <v/>
      </c>
      <c r="Y81">
        <f>HYPERLINK("https://klasma.github.io/Logging_1907/kartor_geotiff/A 37287-2023 georefererad karta.tif", "A 37287-2023")</f>
        <v/>
      </c>
      <c r="AA81">
        <f>HYPERLINK("https://klasma.github.io/Logging_1907/klagomål/A 37287-2023 FSC-klagomål.docx", "A 37287-2023")</f>
        <v/>
      </c>
      <c r="AB81">
        <f>HYPERLINK("https://klasma.github.io/Logging_1907/klagomålsmail/A 37287-2023 FSC-klagomål mail.docx", "A 37287-2023")</f>
        <v/>
      </c>
      <c r="AC81">
        <f>HYPERLINK("https://klasma.github.io/Logging_1907/tillsyn/A 37287-2023 tillsynsbegäran.docx", "A 37287-2023")</f>
        <v/>
      </c>
      <c r="AD81">
        <f>HYPERLINK("https://klasma.github.io/Logging_1907/tillsynsmail/A 37287-2023 tillsynsbegäran mail.docx", "A 37287-2023")</f>
        <v/>
      </c>
    </row>
    <row r="82" ht="15" customHeight="1">
      <c r="A82" t="inlineStr">
        <is>
          <t>A 44356-2024</t>
        </is>
      </c>
      <c r="B82" t="inlineStr">
        <is>
          <t>avverkningsanmälan</t>
        </is>
      </c>
      <c r="C82" t="inlineStr">
        <is>
          <t>Föryngringsavverkning</t>
        </is>
      </c>
      <c r="D82" s="1" t="n">
        <v>45573</v>
      </c>
      <c r="E82" s="1" t="n">
        <v>46239</v>
      </c>
      <c r="F82" t="inlineStr">
        <is>
          <t>VÄSTMANLANDS LÄN</t>
        </is>
      </c>
      <c r="G82" t="inlineStr">
        <is>
          <t>SURAHAMMAR</t>
        </is>
      </c>
      <c r="H82" t="inlineStr">
        <is>
          <t>Sveaskog</t>
        </is>
      </c>
      <c r="I82" t="n">
        <v>0.7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HYPERLINK("https://klasma.github.io/Logging_1907/artfynd/A 44356-2024 artfynd.xlsx", "A 44356-2024")</f>
        <v/>
      </c>
      <c r="X82">
        <f>HYPERLINK("https://klasma.github.io/Logging_1907/kartor/A 44356-2024 karta.png", "A 44356-2024")</f>
        <v/>
      </c>
      <c r="Y82">
        <f>HYPERLINK("https://klasma.github.io/Logging_1907/kartor_geotiff/A 44356-2024 georefererad karta.tif", "A 44356-2024")</f>
        <v/>
      </c>
      <c r="AA82">
        <f>HYPERLINK("https://klasma.github.io/Logging_1907/klagomål/A 44356-2024 FSC-klagomål.docx", "A 44356-2024")</f>
        <v/>
      </c>
      <c r="AB82">
        <f>HYPERLINK("https://klasma.github.io/Logging_1907/klagomålsmail/A 44356-2024 FSC-klagomål mail.docx", "A 44356-2024")</f>
        <v/>
      </c>
      <c r="AC82">
        <f>HYPERLINK("https://klasma.github.io/Logging_1907/tillsyn/A 44356-2024 tillsynsbegäran.docx", "A 44356-2024")</f>
        <v/>
      </c>
      <c r="AD82">
        <f>HYPERLINK("https://klasma.github.io/Logging_1907/tillsynsmail/A 44356-2024 tillsynsbegäran mail.docx", "A 44356-2024")</f>
        <v/>
      </c>
    </row>
    <row r="83" ht="15" customHeight="1">
      <c r="A83" t="inlineStr">
        <is>
          <t>A 64073-2021</t>
        </is>
      </c>
      <c r="B83" t="inlineStr">
        <is>
          <t>avverkningsanmälan</t>
        </is>
      </c>
      <c r="C83" t="inlineStr">
        <is>
          <t>Avverkning för annat ändamål</t>
        </is>
      </c>
      <c r="D83" s="1" t="n">
        <v>44509</v>
      </c>
      <c r="E83" s="1" t="n">
        <v>46239</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46239</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46239</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46239</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66342-2021</t>
        </is>
      </c>
      <c r="B87" t="inlineStr">
        <is>
          <t>avverkningsanmälan</t>
        </is>
      </c>
      <c r="C87" t="inlineStr">
        <is>
          <t>Föryngringsavverkning</t>
        </is>
      </c>
      <c r="D87" s="1" t="n">
        <v>44518</v>
      </c>
      <c r="E87" s="1" t="n">
        <v>46239</v>
      </c>
      <c r="F87" t="inlineStr">
        <is>
          <t>VÄSTMANLANDS LÄN</t>
        </is>
      </c>
      <c r="G87" t="inlineStr">
        <is>
          <t>SURAHAMMAR</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46239</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3595-2022</t>
        </is>
      </c>
      <c r="B89" t="inlineStr">
        <is>
          <t>avverkningsanmälan</t>
        </is>
      </c>
      <c r="C89" t="inlineStr">
        <is>
          <t>Avverkning för att bevara och utveckla /försöksver</t>
        </is>
      </c>
      <c r="D89" s="1" t="n">
        <v>44586</v>
      </c>
      <c r="E89" s="1" t="n">
        <v>46239</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46239</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46239</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56378-2023</t>
        </is>
      </c>
      <c r="B92" t="inlineStr">
        <is>
          <t>avverkningsanmälan</t>
        </is>
      </c>
      <c r="C92" t="inlineStr">
        <is>
          <t>Föryngringsavverkning</t>
        </is>
      </c>
      <c r="D92" s="1" t="n">
        <v>45236</v>
      </c>
      <c r="E92" s="1" t="n">
        <v>46239</v>
      </c>
      <c r="F92" t="inlineStr">
        <is>
          <t>VÄSTMANLANDS LÄN</t>
        </is>
      </c>
      <c r="G92" t="inlineStr">
        <is>
          <t>SURAHAMMAR</t>
        </is>
      </c>
      <c r="H92" t="inlineStr">
        <is>
          <t>Bergvik skog väst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11728-2023</t>
        </is>
      </c>
      <c r="B93" t="inlineStr">
        <is>
          <t>avverkningsanmälan</t>
        </is>
      </c>
      <c r="C93" t="inlineStr">
        <is>
          <t>Avverkning för att bevara och utveckla /försöksver</t>
        </is>
      </c>
      <c r="D93" s="1" t="n">
        <v>44993</v>
      </c>
      <c r="E93" s="1" t="n">
        <v>46239</v>
      </c>
      <c r="F93" t="inlineStr">
        <is>
          <t>VÄSTMANLANDS LÄN</t>
        </is>
      </c>
      <c r="G93" t="inlineStr">
        <is>
          <t>SURAHAMMAR</t>
        </is>
      </c>
      <c r="H93" t="inlineStr">
        <is>
          <t>Bergvik skog väst AB</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5567-2022</t>
        </is>
      </c>
      <c r="B94" t="inlineStr">
        <is>
          <t>avverkningsanmälan</t>
        </is>
      </c>
      <c r="C94" t="inlineStr">
        <is>
          <t>Föryngringsavverkning</t>
        </is>
      </c>
      <c r="D94" s="1" t="n">
        <v>44595</v>
      </c>
      <c r="E94" s="1" t="n">
        <v>46239</v>
      </c>
      <c r="F94" t="inlineStr">
        <is>
          <t>VÄSTMANLANDS LÄN</t>
        </is>
      </c>
      <c r="G94" t="inlineStr">
        <is>
          <t>SURAHAMMAR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46239</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46239</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46239</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46239</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3085-2023</t>
        </is>
      </c>
      <c r="B99" t="inlineStr">
        <is>
          <t>avverkningsanmälan</t>
        </is>
      </c>
      <c r="C99" t="inlineStr">
        <is>
          <t>Föryngringsavverkning</t>
        </is>
      </c>
      <c r="D99" s="1" t="n">
        <v>44946</v>
      </c>
      <c r="E99" s="1" t="n">
        <v>46239</v>
      </c>
      <c r="F99" t="inlineStr">
        <is>
          <t>VÄSTMANLANDS LÄN</t>
        </is>
      </c>
      <c r="G99" t="inlineStr">
        <is>
          <t>SURAHAMMAR</t>
        </is>
      </c>
      <c r="H99" t="inlineStr">
        <is>
          <t>Kyrkan</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7848-2022</t>
        </is>
      </c>
      <c r="B100" t="inlineStr">
        <is>
          <t>avverkningsanmälan</t>
        </is>
      </c>
      <c r="C100" t="inlineStr">
        <is>
          <t>Föryngringsavverkning</t>
        </is>
      </c>
      <c r="D100" s="1" t="n">
        <v>44608</v>
      </c>
      <c r="E100" s="1" t="n">
        <v>46239</v>
      </c>
      <c r="F100" t="inlineStr">
        <is>
          <t>VÄSTMANLANDS LÄN</t>
        </is>
      </c>
      <c r="G100" t="inlineStr">
        <is>
          <t>SURAHAMMAR</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37954-2025</t>
        </is>
      </c>
      <c r="B101" t="inlineStr">
        <is>
          <t>avverkningsanmälan</t>
        </is>
      </c>
      <c r="C101" t="inlineStr">
        <is>
          <t>Föryngringsavverkning</t>
        </is>
      </c>
      <c r="D101" s="1" t="n">
        <v>45881</v>
      </c>
      <c r="E101" s="1" t="n">
        <v>46239</v>
      </c>
      <c r="F101" t="inlineStr">
        <is>
          <t>VÄSTMANLANDS LÄN</t>
        </is>
      </c>
      <c r="G101" t="inlineStr">
        <is>
          <t>SURAHAMMAR</t>
        </is>
      </c>
      <c r="I101" t="n">
        <v>9.5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15743-2023</t>
        </is>
      </c>
      <c r="B102" t="inlineStr">
        <is>
          <t>avverkningsanmälan</t>
        </is>
      </c>
      <c r="C102" t="inlineStr">
        <is>
          <t>Föryngringsavverkning</t>
        </is>
      </c>
      <c r="D102" s="1" t="n">
        <v>45021</v>
      </c>
      <c r="E102" s="1" t="n">
        <v>46239</v>
      </c>
      <c r="F102" t="inlineStr">
        <is>
          <t>VÄSTMANLANDS LÄN</t>
        </is>
      </c>
      <c r="G102" t="inlineStr">
        <is>
          <t>SURAHAMMAR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20904-2023</t>
        </is>
      </c>
      <c r="B103" t="inlineStr">
        <is>
          <t>avverkningsanmälan</t>
        </is>
      </c>
      <c r="C103" t="inlineStr">
        <is>
          <t>Avverkning för att bevara och utveckla /försöksver</t>
        </is>
      </c>
      <c r="D103" s="1" t="n">
        <v>45060</v>
      </c>
      <c r="E103" s="1" t="n">
        <v>46239</v>
      </c>
      <c r="F103" t="inlineStr">
        <is>
          <t>VÄSTMANLANDS LÄN</t>
        </is>
      </c>
      <c r="G103" t="inlineStr">
        <is>
          <t>SURAHAMMAR</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46239</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15637-2022</t>
        </is>
      </c>
      <c r="B105" t="inlineStr">
        <is>
          <t>avverkningsanmälan</t>
        </is>
      </c>
      <c r="C105" t="inlineStr">
        <is>
          <t>Föryngringsavverkning</t>
        </is>
      </c>
      <c r="D105" s="1" t="n">
        <v>44662</v>
      </c>
      <c r="E105" s="1" t="n">
        <v>46239</v>
      </c>
      <c r="F105" t="inlineStr">
        <is>
          <t>VÄSTMANLANDS LÄN</t>
        </is>
      </c>
      <c r="G105" t="inlineStr">
        <is>
          <t>SURAHAMMAR</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42829-2022</t>
        </is>
      </c>
      <c r="B106" t="inlineStr">
        <is>
          <t>avverkningsanmälan</t>
        </is>
      </c>
      <c r="C106" t="inlineStr">
        <is>
          <t>Avverkning för annat ändamål</t>
        </is>
      </c>
      <c r="D106" s="1" t="n">
        <v>44832</v>
      </c>
      <c r="E106" s="1" t="n">
        <v>46239</v>
      </c>
      <c r="F106" t="inlineStr">
        <is>
          <t>VÄSTMANLANDS LÄN</t>
        </is>
      </c>
      <c r="G106" t="inlineStr">
        <is>
          <t>SURAHAMMAR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19786-2023</t>
        </is>
      </c>
      <c r="B107" t="inlineStr">
        <is>
          <t>avverkningsanmälan</t>
        </is>
      </c>
      <c r="C107" t="inlineStr">
        <is>
          <t>Föryngringsavverkning</t>
        </is>
      </c>
      <c r="D107" s="1" t="n">
        <v>45050</v>
      </c>
      <c r="E107" s="1" t="n">
        <v>46239</v>
      </c>
      <c r="F107" t="inlineStr">
        <is>
          <t>VÄSTMANLANDS LÄN</t>
        </is>
      </c>
      <c r="G107" t="inlineStr">
        <is>
          <t>SURAHAMMAR</t>
        </is>
      </c>
      <c r="H107" t="inlineStr">
        <is>
          <t>Bergvik skog väst AB</t>
        </is>
      </c>
      <c r="I107" t="n">
        <v>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19782-2023</t>
        </is>
      </c>
      <c r="B108" t="inlineStr">
        <is>
          <t>avverkningsanmälan</t>
        </is>
      </c>
      <c r="C108" t="inlineStr">
        <is>
          <t>Föryngringsavverkning</t>
        </is>
      </c>
      <c r="D108" s="1" t="n">
        <v>45050</v>
      </c>
      <c r="E108" s="1" t="n">
        <v>46239</v>
      </c>
      <c r="F108" t="inlineStr">
        <is>
          <t>VÄSTMANLANDS LÄN</t>
        </is>
      </c>
      <c r="G108" t="inlineStr">
        <is>
          <t>SURAHAMMAR</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14626-2023</t>
        </is>
      </c>
      <c r="B109" t="inlineStr">
        <is>
          <t>avverkningsanmälan</t>
        </is>
      </c>
      <c r="C109" t="inlineStr">
        <is>
          <t>Föryngringsavverkning</t>
        </is>
      </c>
      <c r="D109" s="1" t="n">
        <v>45012</v>
      </c>
      <c r="E109" s="1" t="n">
        <v>46239</v>
      </c>
      <c r="F109" t="inlineStr">
        <is>
          <t>VÄSTMANLANDS LÄN</t>
        </is>
      </c>
      <c r="G109" t="inlineStr">
        <is>
          <t>SURAHAMMAR</t>
        </is>
      </c>
      <c r="H109" t="inlineStr">
        <is>
          <t>Bergvik skog väst AB</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7787-2024</t>
        </is>
      </c>
      <c r="B110" t="inlineStr">
        <is>
          <t>avverkningsanmälan</t>
        </is>
      </c>
      <c r="C110" t="inlineStr">
        <is>
          <t>Föryngringsavverkning</t>
        </is>
      </c>
      <c r="D110" s="1" t="n">
        <v>45348</v>
      </c>
      <c r="E110" s="1" t="n">
        <v>46239</v>
      </c>
      <c r="F110" t="inlineStr">
        <is>
          <t>VÄSTMANLANDS LÄN</t>
        </is>
      </c>
      <c r="G110" t="inlineStr">
        <is>
          <t>SURAHAMMAR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22628-2026</t>
        </is>
      </c>
      <c r="B111" t="inlineStr">
        <is>
          <t>avverkningsanmälan</t>
        </is>
      </c>
      <c r="C111" t="inlineStr">
        <is>
          <t>Föryngringsavverkning</t>
        </is>
      </c>
      <c r="D111" s="1" t="n">
        <v>46155</v>
      </c>
      <c r="E111" s="1" t="n">
        <v>46239</v>
      </c>
      <c r="F111" t="inlineStr">
        <is>
          <t>VÄSTMANLANDS LÄN</t>
        </is>
      </c>
      <c r="G111" t="inlineStr">
        <is>
          <t>SURAHAMMAR</t>
        </is>
      </c>
      <c r="H111" t="inlineStr">
        <is>
          <t>Sveaskog</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22626-2026</t>
        </is>
      </c>
      <c r="B112" t="inlineStr">
        <is>
          <t>avverkningsanmälan</t>
        </is>
      </c>
      <c r="C112" t="inlineStr">
        <is>
          <t>Föryngringsavverkning</t>
        </is>
      </c>
      <c r="D112" s="1" t="n">
        <v>46155</v>
      </c>
      <c r="E112" s="1" t="n">
        <v>46239</v>
      </c>
      <c r="F112" t="inlineStr">
        <is>
          <t>VÄSTMANLANDS LÄN</t>
        </is>
      </c>
      <c r="G112" t="inlineStr">
        <is>
          <t>SURAHAMMAR</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15739-2023</t>
        </is>
      </c>
      <c r="B113" t="inlineStr">
        <is>
          <t>avverkningsanmälan</t>
        </is>
      </c>
      <c r="C113" t="inlineStr">
        <is>
          <t>Föryngringsavverkning</t>
        </is>
      </c>
      <c r="D113" s="1" t="n">
        <v>45021</v>
      </c>
      <c r="E113" s="1" t="n">
        <v>46239</v>
      </c>
      <c r="F113" t="inlineStr">
        <is>
          <t>VÄSTMANLANDS LÄN</t>
        </is>
      </c>
      <c r="G113" t="inlineStr">
        <is>
          <t>SURAHAMMAR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55873-2025</t>
        </is>
      </c>
      <c r="B114" t="inlineStr">
        <is>
          <t>avverkningsanmälan</t>
        </is>
      </c>
      <c r="C114" t="inlineStr">
        <is>
          <t>Föryngringsavverkning</t>
        </is>
      </c>
      <c r="D114" s="1" t="n">
        <v>45973</v>
      </c>
      <c r="E114" s="1" t="n">
        <v>46239</v>
      </c>
      <c r="F114" t="inlineStr">
        <is>
          <t>VÄSTMANLANDS LÄN</t>
        </is>
      </c>
      <c r="G114" t="inlineStr">
        <is>
          <t>SURAHAMMAR</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48205-2023</t>
        </is>
      </c>
      <c r="B115" t="inlineStr">
        <is>
          <t>avverkningsanmälan</t>
        </is>
      </c>
      <c r="C115" t="inlineStr">
        <is>
          <t>Föryngringsavverkning</t>
        </is>
      </c>
      <c r="D115" s="1" t="n">
        <v>45205</v>
      </c>
      <c r="E115" s="1" t="n">
        <v>46239</v>
      </c>
      <c r="F115" t="inlineStr">
        <is>
          <t>VÄSTMANLANDS LÄN</t>
        </is>
      </c>
      <c r="G115" t="inlineStr">
        <is>
          <t>SURAHAMMAR</t>
        </is>
      </c>
      <c r="H115" t="inlineStr">
        <is>
          <t>Allmännings- och besparingsskogar</t>
        </is>
      </c>
      <c r="I115" t="n">
        <v>7.6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24201-2026</t>
        </is>
      </c>
      <c r="B116" t="inlineStr">
        <is>
          <t>avverkningsanmälan</t>
        </is>
      </c>
      <c r="C116" t="inlineStr">
        <is>
          <t>Föryngringsavverkning</t>
        </is>
      </c>
      <c r="D116" s="1" t="n">
        <v>46168</v>
      </c>
      <c r="E116" s="1" t="n">
        <v>46239</v>
      </c>
      <c r="F116" t="inlineStr">
        <is>
          <t>VÄSTMANLANDS LÄN</t>
        </is>
      </c>
      <c r="G116" t="inlineStr">
        <is>
          <t>SURAHAMMAR</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31061-2026</t>
        </is>
      </c>
      <c r="B117" t="inlineStr">
        <is>
          <t>avverkningsanmälan</t>
        </is>
      </c>
      <c r="C117" t="inlineStr">
        <is>
          <t>Föryngringsavverkning</t>
        </is>
      </c>
      <c r="D117" s="1" t="n">
        <v>46215</v>
      </c>
      <c r="E117" s="1" t="n">
        <v>46239</v>
      </c>
      <c r="F117" t="inlineStr">
        <is>
          <t>VÄSTMANLANDS LÄN</t>
        </is>
      </c>
      <c r="G117" t="inlineStr">
        <is>
          <t>SURAHAMMAR</t>
        </is>
      </c>
      <c r="H117" t="inlineStr">
        <is>
          <t>Sveaskog</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33931-2022</t>
        </is>
      </c>
      <c r="B118" t="inlineStr">
        <is>
          <t>avverkningsanmälan</t>
        </is>
      </c>
      <c r="C118" t="inlineStr">
        <is>
          <t>Föryngringsavverkning</t>
        </is>
      </c>
      <c r="D118" s="1" t="n">
        <v>44790</v>
      </c>
      <c r="E118" s="1" t="n">
        <v>46239</v>
      </c>
      <c r="F118" t="inlineStr">
        <is>
          <t>VÄSTMANLANDS LÄN</t>
        </is>
      </c>
      <c r="G118" t="inlineStr">
        <is>
          <t>SURAHAMMAR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22662-2023</t>
        </is>
      </c>
      <c r="B119" t="inlineStr">
        <is>
          <t>avverkningsanmälan</t>
        </is>
      </c>
      <c r="C119" t="inlineStr">
        <is>
          <t>Avverkning för att bevara och utveckla /försöksver</t>
        </is>
      </c>
      <c r="D119" s="1" t="n">
        <v>45071</v>
      </c>
      <c r="E119" s="1" t="n">
        <v>46239</v>
      </c>
      <c r="F119" t="inlineStr">
        <is>
          <t>VÄSTMANLANDS LÄN</t>
        </is>
      </c>
      <c r="G119" t="inlineStr">
        <is>
          <t>SURAHAMMAR</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4724-2026</t>
        </is>
      </c>
      <c r="B120" t="inlineStr">
        <is>
          <t>avverkningsanmälan</t>
        </is>
      </c>
      <c r="C120" t="inlineStr">
        <is>
          <t>Föryngringsavverkning</t>
        </is>
      </c>
      <c r="D120" s="1" t="n">
        <v>46048</v>
      </c>
      <c r="E120" s="1" t="n">
        <v>46239</v>
      </c>
      <c r="F120" t="inlineStr">
        <is>
          <t>VÄSTMANLANDS LÄN</t>
        </is>
      </c>
      <c r="G120" t="inlineStr">
        <is>
          <t>SURAHAMMAR</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4734-2026</t>
        </is>
      </c>
      <c r="B121" t="inlineStr">
        <is>
          <t>avverkningsanmälan</t>
        </is>
      </c>
      <c r="C121" t="inlineStr">
        <is>
          <t>Föryngringsavverkning</t>
        </is>
      </c>
      <c r="D121" s="1" t="n">
        <v>46048</v>
      </c>
      <c r="E121" s="1" t="n">
        <v>46239</v>
      </c>
      <c r="F121" t="inlineStr">
        <is>
          <t>VÄSTMANLANDS LÄN</t>
        </is>
      </c>
      <c r="G121" t="inlineStr">
        <is>
          <t>SURAHAMMAR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10244-2026</t>
        </is>
      </c>
      <c r="B122" t="inlineStr">
        <is>
          <t>avverkningsanmälan</t>
        </is>
      </c>
      <c r="C122" t="inlineStr">
        <is>
          <t>Föryngringsavverkning</t>
        </is>
      </c>
      <c r="D122" s="1" t="n">
        <v>46076</v>
      </c>
      <c r="E122" s="1" t="n">
        <v>46239</v>
      </c>
      <c r="F122" t="inlineStr">
        <is>
          <t>VÄSTMANLANDS LÄN</t>
        </is>
      </c>
      <c r="G122" t="inlineStr">
        <is>
          <t>SURAHAMMAR</t>
        </is>
      </c>
      <c r="H122" t="inlineStr">
        <is>
          <t>Allmännings- och besparingsskogar</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10249-2026</t>
        </is>
      </c>
      <c r="B123" t="inlineStr">
        <is>
          <t>avverkningsanmälan</t>
        </is>
      </c>
      <c r="C123" t="inlineStr">
        <is>
          <t>Föryngringsavverkning</t>
        </is>
      </c>
      <c r="D123" s="1" t="n">
        <v>46076</v>
      </c>
      <c r="E123" s="1" t="n">
        <v>46239</v>
      </c>
      <c r="F123" t="inlineStr">
        <is>
          <t>VÄSTMANLANDS LÄN</t>
        </is>
      </c>
      <c r="G123" t="inlineStr">
        <is>
          <t>SURAHAMMAR</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10562-2026</t>
        </is>
      </c>
      <c r="B124" t="inlineStr">
        <is>
          <t>avverkningsanmälan</t>
        </is>
      </c>
      <c r="C124" t="inlineStr">
        <is>
          <t>Föryngringsavverkning</t>
        </is>
      </c>
      <c r="D124" s="1" t="n">
        <v>46077</v>
      </c>
      <c r="E124" s="1" t="n">
        <v>46239</v>
      </c>
      <c r="F124" t="inlineStr">
        <is>
          <t>VÄSTMANLANDS LÄN</t>
        </is>
      </c>
      <c r="G124" t="inlineStr">
        <is>
          <t>SURAHAMMAR</t>
        </is>
      </c>
      <c r="H124" t="inlineStr">
        <is>
          <t>Övriga Aktiebolag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10347-2026</t>
        </is>
      </c>
      <c r="B125" t="inlineStr">
        <is>
          <t>avverkningsanmälan</t>
        </is>
      </c>
      <c r="C125" t="inlineStr">
        <is>
          <t>Föryngringsavverkning</t>
        </is>
      </c>
      <c r="D125" s="1" t="n">
        <v>46076</v>
      </c>
      <c r="E125" s="1" t="n">
        <v>46239</v>
      </c>
      <c r="F125" t="inlineStr">
        <is>
          <t>VÄSTMANLANDS LÄN</t>
        </is>
      </c>
      <c r="G125" t="inlineStr">
        <is>
          <t>SURAHAMMAR</t>
        </is>
      </c>
      <c r="H125" t="inlineStr">
        <is>
          <t>Allmännings- och besparingsskogar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12841-2026</t>
        </is>
      </c>
      <c r="B126" t="inlineStr">
        <is>
          <t>avverkningsanmälan</t>
        </is>
      </c>
      <c r="C126" t="inlineStr">
        <is>
          <t>Föryngringsavverkning</t>
        </is>
      </c>
      <c r="D126" s="1" t="n">
        <v>46091</v>
      </c>
      <c r="E126" s="1" t="n">
        <v>46239</v>
      </c>
      <c r="F126" t="inlineStr">
        <is>
          <t>VÄSTMANLANDS LÄN</t>
        </is>
      </c>
      <c r="G126" t="inlineStr">
        <is>
          <t>SURAHAMMAR</t>
        </is>
      </c>
      <c r="H126" t="inlineStr">
        <is>
          <t>Bergvik skog väst AB</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32223-2026</t>
        </is>
      </c>
      <c r="B127" t="inlineStr">
        <is>
          <t>avverkningsanmälan</t>
        </is>
      </c>
      <c r="C127" t="inlineStr">
        <is>
          <t>Föryngringsavverkning</t>
        </is>
      </c>
      <c r="D127" s="1" t="n">
        <v>46237</v>
      </c>
      <c r="E127" s="1" t="n">
        <v>46239</v>
      </c>
      <c r="F127" t="inlineStr">
        <is>
          <t>VÄSTMANLANDS LÄN</t>
        </is>
      </c>
      <c r="G127" t="inlineStr">
        <is>
          <t>SURAHAMMAR</t>
        </is>
      </c>
      <c r="H127" t="inlineStr">
        <is>
          <t>Allmännings- och besparingsskogar</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46239</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24665-2023</t>
        </is>
      </c>
      <c r="B129" t="inlineStr">
        <is>
          <t>avverkningsanmälan</t>
        </is>
      </c>
      <c r="C129" t="inlineStr">
        <is>
          <t>Föryngringsavverkning</t>
        </is>
      </c>
      <c r="D129" s="1" t="n">
        <v>45084</v>
      </c>
      <c r="E129" s="1" t="n">
        <v>46239</v>
      </c>
      <c r="F129" t="inlineStr">
        <is>
          <t>VÄSTMANLANDS LÄN</t>
        </is>
      </c>
      <c r="G129" t="inlineStr">
        <is>
          <t>SURAHAMMAR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72367-2021</t>
        </is>
      </c>
      <c r="B130" t="inlineStr">
        <is>
          <t>avverkningsanmälan</t>
        </is>
      </c>
      <c r="C130" t="inlineStr">
        <is>
          <t>Föryngringsavverkning</t>
        </is>
      </c>
      <c r="D130" s="1" t="n">
        <v>44545</v>
      </c>
      <c r="E130" s="1" t="n">
        <v>46239</v>
      </c>
      <c r="F130" t="inlineStr">
        <is>
          <t>VÄSTMANLANDS LÄN</t>
        </is>
      </c>
      <c r="G130" t="inlineStr">
        <is>
          <t>SURAHAMMAR</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19246-2026</t>
        </is>
      </c>
      <c r="B131" t="inlineStr">
        <is>
          <t>avverkningsanmälan</t>
        </is>
      </c>
      <c r="C131" t="inlineStr">
        <is>
          <t>Avverkning för annat ändamål</t>
        </is>
      </c>
      <c r="D131" s="1" t="n">
        <v>46132</v>
      </c>
      <c r="E131" s="1" t="n">
        <v>46239</v>
      </c>
      <c r="F131" t="inlineStr">
        <is>
          <t>VÄSTMANLANDS LÄN</t>
        </is>
      </c>
      <c r="G131" t="inlineStr">
        <is>
          <t>SURAHAMMAR</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42714-2022</t>
        </is>
      </c>
      <c r="B132" t="inlineStr">
        <is>
          <t>avverkningsanmälan</t>
        </is>
      </c>
      <c r="C132" t="inlineStr">
        <is>
          <t>Föryngringsavverkning</t>
        </is>
      </c>
      <c r="D132" s="1" t="n">
        <v>44832</v>
      </c>
      <c r="E132" s="1" t="n">
        <v>46239</v>
      </c>
      <c r="F132" t="inlineStr">
        <is>
          <t>VÄSTMANLANDS LÄN</t>
        </is>
      </c>
      <c r="G132" t="inlineStr">
        <is>
          <t>SURAHAMMAR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46239</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46239</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25780-2023</t>
        </is>
      </c>
      <c r="B135" t="inlineStr">
        <is>
          <t>avverkningsanmälan</t>
        </is>
      </c>
      <c r="C135" t="inlineStr">
        <is>
          <t>Föryngringsavverkning</t>
        </is>
      </c>
      <c r="D135" s="1" t="n">
        <v>45090</v>
      </c>
      <c r="E135" s="1" t="n">
        <v>46239</v>
      </c>
      <c r="F135" t="inlineStr">
        <is>
          <t>VÄSTMANLANDS LÄN</t>
        </is>
      </c>
      <c r="G135" t="inlineStr">
        <is>
          <t>SURAHAMMAR</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20535-2026</t>
        </is>
      </c>
      <c r="B136" t="inlineStr">
        <is>
          <t>avverkningsanmälan</t>
        </is>
      </c>
      <c r="C136" t="inlineStr">
        <is>
          <t>Avverkning för annat ändamål</t>
        </is>
      </c>
      <c r="D136" s="1" t="n">
        <v>46140</v>
      </c>
      <c r="E136" s="1" t="n">
        <v>46239</v>
      </c>
      <c r="F136" t="inlineStr">
        <is>
          <t>VÄSTMANLANDS LÄN</t>
        </is>
      </c>
      <c r="G136" t="inlineStr">
        <is>
          <t>SURAHAMMAR</t>
        </is>
      </c>
      <c r="H136" t="inlineStr">
        <is>
          <t>Bergvik skog väst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49058-2024</t>
        </is>
      </c>
      <c r="B137" t="inlineStr">
        <is>
          <t>avverkningsanmälan</t>
        </is>
      </c>
      <c r="C137" t="inlineStr">
        <is>
          <t>Föryngringsavverkning</t>
        </is>
      </c>
      <c r="D137" s="1" t="n">
        <v>45594</v>
      </c>
      <c r="E137" s="1" t="n">
        <v>46239</v>
      </c>
      <c r="F137" t="inlineStr">
        <is>
          <t>VÄSTMANLANDS LÄN</t>
        </is>
      </c>
      <c r="G137" t="inlineStr">
        <is>
          <t>SURAHAMMAR</t>
        </is>
      </c>
      <c r="H137" t="inlineStr">
        <is>
          <t>Sveaskog</t>
        </is>
      </c>
      <c r="I137" t="n">
        <v>11.4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35682-2022</t>
        </is>
      </c>
      <c r="B138" t="inlineStr">
        <is>
          <t>avverkningsanmälan</t>
        </is>
      </c>
      <c r="C138" t="inlineStr">
        <is>
          <t>Föryngringsavverkning</t>
        </is>
      </c>
      <c r="D138" s="1" t="n">
        <v>44799</v>
      </c>
      <c r="E138" s="1" t="n">
        <v>46239</v>
      </c>
      <c r="F138" t="inlineStr">
        <is>
          <t>VÄSTMANLANDS LÄN</t>
        </is>
      </c>
      <c r="G138" t="inlineStr">
        <is>
          <t>SURAHAMMAR</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2867-2024</t>
        </is>
      </c>
      <c r="B139" t="inlineStr">
        <is>
          <t>avverkningsanmälan</t>
        </is>
      </c>
      <c r="C139" t="inlineStr">
        <is>
          <t>Föryngringsavverkning</t>
        </is>
      </c>
      <c r="D139" s="1" t="n">
        <v>45315</v>
      </c>
      <c r="E139" s="1" t="n">
        <v>46239</v>
      </c>
      <c r="F139" t="inlineStr">
        <is>
          <t>VÄSTMANLANDS LÄN</t>
        </is>
      </c>
      <c r="G139" t="inlineStr">
        <is>
          <t>SURAHAMMAR</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2660-2024</t>
        </is>
      </c>
      <c r="B140" t="inlineStr">
        <is>
          <t>avverkningsanmälan</t>
        </is>
      </c>
      <c r="C140" t="inlineStr">
        <is>
          <t>Föryngringsavverkning</t>
        </is>
      </c>
      <c r="D140" s="1" t="n">
        <v>45310</v>
      </c>
      <c r="E140" s="1" t="n">
        <v>46239</v>
      </c>
      <c r="F140" t="inlineStr">
        <is>
          <t>VÄSTMANLANDS LÄN</t>
        </is>
      </c>
      <c r="G140" t="inlineStr">
        <is>
          <t>SURAHAMMAR</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46239</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c r="A142" t="inlineStr">
        <is>
          <t>S 3542-2022</t>
        </is>
      </c>
      <c r="B142" t="inlineStr">
        <is>
          <t>samrådsanmälan</t>
        </is>
      </c>
      <c r="C142" t="inlineStr">
        <is>
          <t>Skogsbilväg</t>
        </is>
      </c>
      <c r="D142" s="1" t="n">
        <v>44734</v>
      </c>
      <c r="E142" s="1" t="n">
        <v>46239</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2026-08-05T20:36:39Z</dcterms:created>
  <dcterms:modified xmlns:dcterms="http://purl.org/dc/terms/" xmlns:xsi="http://www.w3.org/2001/XMLSchema-instance" xsi:type="dcterms:W3CDTF">2026-08-05T20:36:39Z</dcterms:modified>
</cp:coreProperties>
</file>