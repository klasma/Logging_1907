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46085</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46085</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46085</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46085</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46085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46085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46085</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56299-2021</t>
        </is>
      </c>
      <c r="B18" s="1" t="n">
        <v>44477</v>
      </c>
      <c r="C18" s="1" t="n">
        <v>46085</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7791-2024</t>
        </is>
      </c>
      <c r="B19" s="1" t="n">
        <v>45348</v>
      </c>
      <c r="C19" s="1" t="n">
        <v>46085</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46085</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46085</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46085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10236-2026</t>
        </is>
      </c>
      <c r="B23" s="1" t="n">
        <v>46076.54277777778</v>
      </c>
      <c r="C23" s="1" t="n">
        <v>46085</v>
      </c>
      <c r="D23" t="inlineStr">
        <is>
          <t>VÄSTMANLANDS LÄN</t>
        </is>
      </c>
      <c r="E23" t="inlineStr">
        <is>
          <t>SURAHAMMAR</t>
        </is>
      </c>
      <c r="F23" t="inlineStr">
        <is>
          <t>Allmännings- och besparingsskogar</t>
        </is>
      </c>
      <c r="G23" t="n">
        <v>2.8</v>
      </c>
      <c r="H23" t="n">
        <v>2</v>
      </c>
      <c r="I23" t="n">
        <v>1</v>
      </c>
      <c r="J23" t="n">
        <v>0</v>
      </c>
      <c r="K23" t="n">
        <v>1</v>
      </c>
      <c r="L23" t="n">
        <v>0</v>
      </c>
      <c r="M23" t="n">
        <v>0</v>
      </c>
      <c r="N23" t="n">
        <v>0</v>
      </c>
      <c r="O23" t="n">
        <v>1</v>
      </c>
      <c r="P23" t="n">
        <v>1</v>
      </c>
      <c r="Q23" t="n">
        <v>4</v>
      </c>
      <c r="R23" s="2" t="inlineStr">
        <is>
          <t>Vågticka
Brandticka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48891-2023</t>
        </is>
      </c>
      <c r="B24" s="1" t="n">
        <v>45203</v>
      </c>
      <c r="C24" s="1" t="n">
        <v>46085</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46085</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21716-2025</t>
        </is>
      </c>
      <c r="B26" s="1" t="n">
        <v>45783.54804398148</v>
      </c>
      <c r="C26" s="1" t="n">
        <v>46085</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46085</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65024-2023</t>
        </is>
      </c>
      <c r="B28" s="1" t="n">
        <v>45282</v>
      </c>
      <c r="C28" s="1" t="n">
        <v>46085</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39694-2025</t>
        </is>
      </c>
      <c r="B29" s="1" t="n">
        <v>45890</v>
      </c>
      <c r="C29" s="1" t="n">
        <v>46085</v>
      </c>
      <c r="D29" t="inlineStr">
        <is>
          <t>VÄSTMANLANDS LÄN</t>
        </is>
      </c>
      <c r="E29" t="inlineStr">
        <is>
          <t>SURAHAMMAR</t>
        </is>
      </c>
      <c r="F29" t="inlineStr">
        <is>
          <t>Bergvik skog väst AB</t>
        </is>
      </c>
      <c r="G29" t="n">
        <v>2.9</v>
      </c>
      <c r="H29" t="n">
        <v>1</v>
      </c>
      <c r="I29" t="n">
        <v>1</v>
      </c>
      <c r="J29" t="n">
        <v>1</v>
      </c>
      <c r="K29" t="n">
        <v>0</v>
      </c>
      <c r="L29" t="n">
        <v>0</v>
      </c>
      <c r="M29" t="n">
        <v>0</v>
      </c>
      <c r="N29" t="n">
        <v>0</v>
      </c>
      <c r="O29" t="n">
        <v>1</v>
      </c>
      <c r="P29" t="n">
        <v>0</v>
      </c>
      <c r="Q29" t="n">
        <v>3</v>
      </c>
      <c r="R29" s="2" t="inlineStr">
        <is>
          <t>Motaggsvamp
Mindre märgborre
Tjäder</t>
        </is>
      </c>
      <c r="S29">
        <f>HYPERLINK("https://klasma.github.io/Logging_1907/artfynd/A 39694-2025 artfynd.xlsx", "A 39694-2025")</f>
        <v/>
      </c>
      <c r="T29">
        <f>HYPERLINK("https://klasma.github.io/Logging_1907/kartor/A 39694-2025 karta.png", "A 39694-2025")</f>
        <v/>
      </c>
      <c r="V29">
        <f>HYPERLINK("https://klasma.github.io/Logging_1907/klagomål/A 39694-2025 FSC-klagomål.docx", "A 39694-2025")</f>
        <v/>
      </c>
      <c r="W29">
        <f>HYPERLINK("https://klasma.github.io/Logging_1907/klagomålsmail/A 39694-2025 FSC-klagomål mail.docx", "A 39694-2025")</f>
        <v/>
      </c>
      <c r="X29">
        <f>HYPERLINK("https://klasma.github.io/Logging_1907/tillsyn/A 39694-2025 tillsynsbegäran.docx", "A 39694-2025")</f>
        <v/>
      </c>
      <c r="Y29">
        <f>HYPERLINK("https://klasma.github.io/Logging_1907/tillsynsmail/A 39694-2025 tillsynsbegäran mail.docx", "A 39694-2025")</f>
        <v/>
      </c>
      <c r="Z29">
        <f>HYPERLINK("https://klasma.github.io/Logging_1907/fåglar/A 39694-2025 prioriterade fågelarter.docx", "A 39694-2025")</f>
        <v/>
      </c>
    </row>
    <row r="30" ht="15" customHeight="1">
      <c r="A30" t="inlineStr">
        <is>
          <t>A 42860-2022</t>
        </is>
      </c>
      <c r="B30" s="1" t="n">
        <v>44832</v>
      </c>
      <c r="C30" s="1" t="n">
        <v>46085</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46085</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46085</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4082-2025</t>
        </is>
      </c>
      <c r="B33" s="1" t="n">
        <v>45684</v>
      </c>
      <c r="C33" s="1" t="n">
        <v>46085</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8552-2022</t>
        </is>
      </c>
      <c r="B34" s="1" t="n">
        <v>44613</v>
      </c>
      <c r="C34" s="1" t="n">
        <v>46085</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42708-2022</t>
        </is>
      </c>
      <c r="B35" s="1" t="n">
        <v>44832</v>
      </c>
      <c r="C35" s="1" t="n">
        <v>46085</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49718-2023</t>
        </is>
      </c>
      <c r="B36" s="1" t="n">
        <v>45212</v>
      </c>
      <c r="C36" s="1" t="n">
        <v>46085</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48128-2023</t>
        </is>
      </c>
      <c r="B37" s="1" t="n">
        <v>45205</v>
      </c>
      <c r="C37" s="1" t="n">
        <v>46085</v>
      </c>
      <c r="D37" t="inlineStr">
        <is>
          <t>VÄSTMANLANDS LÄN</t>
        </is>
      </c>
      <c r="E37" t="inlineStr">
        <is>
          <t>SURAHAMMAR</t>
        </is>
      </c>
      <c r="F37" t="inlineStr">
        <is>
          <t>Allmännings- och besparingsskogar</t>
        </is>
      </c>
      <c r="G37" t="n">
        <v>11.8</v>
      </c>
      <c r="H37" t="n">
        <v>0</v>
      </c>
      <c r="I37" t="n">
        <v>2</v>
      </c>
      <c r="J37" t="n">
        <v>1</v>
      </c>
      <c r="K37" t="n">
        <v>0</v>
      </c>
      <c r="L37" t="n">
        <v>0</v>
      </c>
      <c r="M37" t="n">
        <v>0</v>
      </c>
      <c r="N37" t="n">
        <v>0</v>
      </c>
      <c r="O37" t="n">
        <v>1</v>
      </c>
      <c r="P37" t="n">
        <v>0</v>
      </c>
      <c r="Q37" t="n">
        <v>3</v>
      </c>
      <c r="R37" s="2" t="inlineStr">
        <is>
          <t>Svinrot
Blodticka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42853-2022</t>
        </is>
      </c>
      <c r="B38" s="1" t="n">
        <v>44832</v>
      </c>
      <c r="C38" s="1" t="n">
        <v>46085</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29707-2025</t>
        </is>
      </c>
      <c r="B39" s="1" t="n">
        <v>45825.56100694444</v>
      </c>
      <c r="C39" s="1" t="n">
        <v>46085</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46085</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46085</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46085</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46085</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37800-2021</t>
        </is>
      </c>
      <c r="B44" s="1" t="n">
        <v>44402</v>
      </c>
      <c r="C44" s="1" t="n">
        <v>46085</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63146-2025</t>
        </is>
      </c>
      <c r="B45" s="1" t="n">
        <v>46009</v>
      </c>
      <c r="C45" s="1" t="n">
        <v>46085</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62097-2024</t>
        </is>
      </c>
      <c r="B46" s="1" t="n">
        <v>45646</v>
      </c>
      <c r="C46" s="1" t="n">
        <v>46085</v>
      </c>
      <c r="D46" t="inlineStr">
        <is>
          <t>VÄSTMANLANDS LÄN</t>
        </is>
      </c>
      <c r="E46" t="inlineStr">
        <is>
          <t>SURAHAMMAR</t>
        </is>
      </c>
      <c r="F46" t="inlineStr">
        <is>
          <t>Bergvik skog väst AB</t>
        </is>
      </c>
      <c r="G46" t="n">
        <v>21.7</v>
      </c>
      <c r="H46" t="n">
        <v>2</v>
      </c>
      <c r="I46" t="n">
        <v>0</v>
      </c>
      <c r="J46" t="n">
        <v>0</v>
      </c>
      <c r="K46" t="n">
        <v>0</v>
      </c>
      <c r="L46" t="n">
        <v>0</v>
      </c>
      <c r="M46" t="n">
        <v>0</v>
      </c>
      <c r="N46" t="n">
        <v>0</v>
      </c>
      <c r="O46" t="n">
        <v>0</v>
      </c>
      <c r="P46" t="n">
        <v>0</v>
      </c>
      <c r="Q46" t="n">
        <v>2</v>
      </c>
      <c r="R46" s="2" t="inlineStr">
        <is>
          <t>Mattlummer
Revlummer</t>
        </is>
      </c>
      <c r="S46">
        <f>HYPERLINK("https://klasma.github.io/Logging_1907/artfynd/A 62097-2024 artfynd.xlsx", "A 62097-2024")</f>
        <v/>
      </c>
      <c r="T46">
        <f>HYPERLINK("https://klasma.github.io/Logging_1907/kartor/A 62097-2024 karta.png", "A 62097-2024")</f>
        <v/>
      </c>
      <c r="V46">
        <f>HYPERLINK("https://klasma.github.io/Logging_1907/klagomål/A 62097-2024 FSC-klagomål.docx", "A 62097-2024")</f>
        <v/>
      </c>
      <c r="W46">
        <f>HYPERLINK("https://klasma.github.io/Logging_1907/klagomålsmail/A 62097-2024 FSC-klagomål mail.docx", "A 62097-2024")</f>
        <v/>
      </c>
      <c r="X46">
        <f>HYPERLINK("https://klasma.github.io/Logging_1907/tillsyn/A 62097-2024 tillsynsbegäran.docx", "A 62097-2024")</f>
        <v/>
      </c>
      <c r="Y46">
        <f>HYPERLINK("https://klasma.github.io/Logging_1907/tillsynsmail/A 62097-2024 tillsynsbegäran mail.docx", "A 62097-2024")</f>
        <v/>
      </c>
    </row>
    <row r="47" ht="15" customHeight="1">
      <c r="A47" t="inlineStr">
        <is>
          <t>A 41204-2023</t>
        </is>
      </c>
      <c r="B47" s="1" t="n">
        <v>45174</v>
      </c>
      <c r="C47" s="1" t="n">
        <v>46085</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46085</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46085</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46085</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46085</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40411-2021</t>
        </is>
      </c>
      <c r="B52" s="1" t="n">
        <v>44419</v>
      </c>
      <c r="C52" s="1" t="n">
        <v>46085</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33231-2024</t>
        </is>
      </c>
      <c r="B53" s="1" t="n">
        <v>45518</v>
      </c>
      <c r="C53" s="1" t="n">
        <v>46085</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30074-2023</t>
        </is>
      </c>
      <c r="B54" s="1" t="n">
        <v>45110</v>
      </c>
      <c r="C54" s="1" t="n">
        <v>46085</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31176-2024</t>
        </is>
      </c>
      <c r="B55" s="1" t="n">
        <v>45503</v>
      </c>
      <c r="C55" s="1" t="n">
        <v>46085</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34582-2025</t>
        </is>
      </c>
      <c r="B56" s="1" t="n">
        <v>45846</v>
      </c>
      <c r="C56" s="1" t="n">
        <v>46085</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25583-2024</t>
        </is>
      </c>
      <c r="B57" s="1" t="n">
        <v>45463</v>
      </c>
      <c r="C57" s="1" t="n">
        <v>46085</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42089-2025</t>
        </is>
      </c>
      <c r="B58" s="1" t="n">
        <v>45902</v>
      </c>
      <c r="C58" s="1" t="n">
        <v>46085</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56362-2023</t>
        </is>
      </c>
      <c r="B59" s="1" t="n">
        <v>45236</v>
      </c>
      <c r="C59" s="1" t="n">
        <v>46085</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13971-2023</t>
        </is>
      </c>
      <c r="B60" s="1" t="n">
        <v>45007</v>
      </c>
      <c r="C60" s="1" t="n">
        <v>46085</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42765-2022</t>
        </is>
      </c>
      <c r="B61" s="1" t="n">
        <v>44832</v>
      </c>
      <c r="C61" s="1" t="n">
        <v>46085</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44356-2024</t>
        </is>
      </c>
      <c r="B62" s="1" t="n">
        <v>45573</v>
      </c>
      <c r="C62" s="1" t="n">
        <v>46085</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39099-2022</t>
        </is>
      </c>
      <c r="B63" s="1" t="n">
        <v>44817</v>
      </c>
      <c r="C63" s="1" t="n">
        <v>46085</v>
      </c>
      <c r="D63" t="inlineStr">
        <is>
          <t>VÄSTMANLANDS LÄN</t>
        </is>
      </c>
      <c r="E63" t="inlineStr">
        <is>
          <t>SURAHAMMAR</t>
        </is>
      </c>
      <c r="F63" t="inlineStr">
        <is>
          <t>Bergvik skog väst AB</t>
        </is>
      </c>
      <c r="G63" t="n">
        <v>7.4</v>
      </c>
      <c r="H63" t="n">
        <v>0</v>
      </c>
      <c r="I63" t="n">
        <v>1</v>
      </c>
      <c r="J63" t="n">
        <v>0</v>
      </c>
      <c r="K63" t="n">
        <v>0</v>
      </c>
      <c r="L63" t="n">
        <v>0</v>
      </c>
      <c r="M63" t="n">
        <v>0</v>
      </c>
      <c r="N63" t="n">
        <v>0</v>
      </c>
      <c r="O63" t="n">
        <v>0</v>
      </c>
      <c r="P63" t="n">
        <v>0</v>
      </c>
      <c r="Q63" t="n">
        <v>1</v>
      </c>
      <c r="R63" s="2" t="inlineStr">
        <is>
          <t>Stekelbock</t>
        </is>
      </c>
      <c r="S63">
        <f>HYPERLINK("https://klasma.github.io/Logging_1907/artfynd/A 39099-2022 artfynd.xlsx", "A 39099-2022")</f>
        <v/>
      </c>
      <c r="T63">
        <f>HYPERLINK("https://klasma.github.io/Logging_1907/kartor/A 39099-2022 karta.png", "A 39099-2022")</f>
        <v/>
      </c>
      <c r="V63">
        <f>HYPERLINK("https://klasma.github.io/Logging_1907/klagomål/A 39099-2022 FSC-klagomål.docx", "A 39099-2022")</f>
        <v/>
      </c>
      <c r="W63">
        <f>HYPERLINK("https://klasma.github.io/Logging_1907/klagomålsmail/A 39099-2022 FSC-klagomål mail.docx", "A 39099-2022")</f>
        <v/>
      </c>
      <c r="X63">
        <f>HYPERLINK("https://klasma.github.io/Logging_1907/tillsyn/A 39099-2022 tillsynsbegäran.docx", "A 39099-2022")</f>
        <v/>
      </c>
      <c r="Y63">
        <f>HYPERLINK("https://klasma.github.io/Logging_1907/tillsynsmail/A 39099-2022 tillsynsbegäran mail.docx", "A 39099-2022")</f>
        <v/>
      </c>
    </row>
    <row r="64" ht="15" customHeight="1">
      <c r="A64" t="inlineStr">
        <is>
          <t>A 17632-2022</t>
        </is>
      </c>
      <c r="B64" s="1" t="n">
        <v>44680</v>
      </c>
      <c r="C64" s="1" t="n">
        <v>46085</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69777-2021</t>
        </is>
      </c>
      <c r="B65" s="1" t="n">
        <v>44532</v>
      </c>
      <c r="C65" s="1" t="n">
        <v>46085</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14001-2023</t>
        </is>
      </c>
      <c r="B66" s="1" t="n">
        <v>45007</v>
      </c>
      <c r="C66" s="1" t="n">
        <v>46085</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55042-2025</t>
        </is>
      </c>
      <c r="B67" s="1" t="n">
        <v>45967.65858796296</v>
      </c>
      <c r="C67" s="1" t="n">
        <v>46085</v>
      </c>
      <c r="D67" t="inlineStr">
        <is>
          <t>VÄSTMANLANDS LÄN</t>
        </is>
      </c>
      <c r="E67" t="inlineStr">
        <is>
          <t>SURAHAMMAR</t>
        </is>
      </c>
      <c r="F67" t="inlineStr">
        <is>
          <t>Sveaskog</t>
        </is>
      </c>
      <c r="G67" t="n">
        <v>7.2</v>
      </c>
      <c r="H67" t="n">
        <v>0</v>
      </c>
      <c r="I67" t="n">
        <v>0</v>
      </c>
      <c r="J67" t="n">
        <v>1</v>
      </c>
      <c r="K67" t="n">
        <v>0</v>
      </c>
      <c r="L67" t="n">
        <v>0</v>
      </c>
      <c r="M67" t="n">
        <v>0</v>
      </c>
      <c r="N67" t="n">
        <v>0</v>
      </c>
      <c r="O67" t="n">
        <v>1</v>
      </c>
      <c r="P67" t="n">
        <v>0</v>
      </c>
      <c r="Q67" t="n">
        <v>1</v>
      </c>
      <c r="R67" s="2" t="inlineStr">
        <is>
          <t>Motaggsvamp</t>
        </is>
      </c>
      <c r="S67">
        <f>HYPERLINK("https://klasma.github.io/Logging_1907/artfynd/A 55042-2025 artfynd.xlsx", "A 55042-2025")</f>
        <v/>
      </c>
      <c r="T67">
        <f>HYPERLINK("https://klasma.github.io/Logging_1907/kartor/A 55042-2025 karta.png", "A 55042-2025")</f>
        <v/>
      </c>
      <c r="V67">
        <f>HYPERLINK("https://klasma.github.io/Logging_1907/klagomål/A 55042-2025 FSC-klagomål.docx", "A 55042-2025")</f>
        <v/>
      </c>
      <c r="W67">
        <f>HYPERLINK("https://klasma.github.io/Logging_1907/klagomålsmail/A 55042-2025 FSC-klagomål mail.docx", "A 55042-2025")</f>
        <v/>
      </c>
      <c r="X67">
        <f>HYPERLINK("https://klasma.github.io/Logging_1907/tillsyn/A 55042-2025 tillsynsbegäran.docx", "A 55042-2025")</f>
        <v/>
      </c>
      <c r="Y67">
        <f>HYPERLINK("https://klasma.github.io/Logging_1907/tillsynsmail/A 55042-2025 tillsynsbegäran mail.docx", "A 55042-2025")</f>
        <v/>
      </c>
    </row>
    <row r="68" ht="15" customHeight="1">
      <c r="A68" t="inlineStr">
        <is>
          <t>A 47453-2024</t>
        </is>
      </c>
      <c r="B68" s="1" t="n">
        <v>45587.55017361111</v>
      </c>
      <c r="C68" s="1" t="n">
        <v>46085</v>
      </c>
      <c r="D68" t="inlineStr">
        <is>
          <t>VÄSTMANLANDS LÄN</t>
        </is>
      </c>
      <c r="E68" t="inlineStr">
        <is>
          <t>SURAHAMMAR</t>
        </is>
      </c>
      <c r="G68" t="n">
        <v>5.1</v>
      </c>
      <c r="H68" t="n">
        <v>1</v>
      </c>
      <c r="I68" t="n">
        <v>0</v>
      </c>
      <c r="J68" t="n">
        <v>0</v>
      </c>
      <c r="K68" t="n">
        <v>0</v>
      </c>
      <c r="L68" t="n">
        <v>0</v>
      </c>
      <c r="M68" t="n">
        <v>0</v>
      </c>
      <c r="N68" t="n">
        <v>0</v>
      </c>
      <c r="O68" t="n">
        <v>0</v>
      </c>
      <c r="P68" t="n">
        <v>0</v>
      </c>
      <c r="Q68" t="n">
        <v>1</v>
      </c>
      <c r="R68" s="2" t="inlineStr">
        <is>
          <t>Göktyta</t>
        </is>
      </c>
      <c r="S68">
        <f>HYPERLINK("https://klasma.github.io/Logging_1907/artfynd/A 47453-2024 artfynd.xlsx", "A 47453-2024")</f>
        <v/>
      </c>
      <c r="T68">
        <f>HYPERLINK("https://klasma.github.io/Logging_1907/kartor/A 47453-2024 karta.png", "A 47453-2024")</f>
        <v/>
      </c>
      <c r="V68">
        <f>HYPERLINK("https://klasma.github.io/Logging_1907/klagomål/A 47453-2024 FSC-klagomål.docx", "A 47453-2024")</f>
        <v/>
      </c>
      <c r="W68">
        <f>HYPERLINK("https://klasma.github.io/Logging_1907/klagomålsmail/A 47453-2024 FSC-klagomål mail.docx", "A 47453-2024")</f>
        <v/>
      </c>
      <c r="X68">
        <f>HYPERLINK("https://klasma.github.io/Logging_1907/tillsyn/A 47453-2024 tillsynsbegäran.docx", "A 47453-2024")</f>
        <v/>
      </c>
      <c r="Y68">
        <f>HYPERLINK("https://klasma.github.io/Logging_1907/tillsynsmail/A 47453-2024 tillsynsbegäran mail.docx", "A 47453-2024")</f>
        <v/>
      </c>
      <c r="Z68">
        <f>HYPERLINK("https://klasma.github.io/Logging_1907/fåglar/A 47453-2024 prioriterade fågelarter.docx", "A 47453-2024")</f>
        <v/>
      </c>
    </row>
    <row r="69" ht="15" customHeight="1">
      <c r="A69" t="inlineStr">
        <is>
          <t>A 55871-2025</t>
        </is>
      </c>
      <c r="B69" s="1" t="n">
        <v>45973.35452546296</v>
      </c>
      <c r="C69" s="1" t="n">
        <v>46085</v>
      </c>
      <c r="D69" t="inlineStr">
        <is>
          <t>VÄSTMANLANDS LÄN</t>
        </is>
      </c>
      <c r="E69" t="inlineStr">
        <is>
          <t>SURAHAMMAR</t>
        </is>
      </c>
      <c r="F69" t="inlineStr">
        <is>
          <t>Sveaskog</t>
        </is>
      </c>
      <c r="G69" t="n">
        <v>1.4</v>
      </c>
      <c r="H69" t="n">
        <v>1</v>
      </c>
      <c r="I69" t="n">
        <v>0</v>
      </c>
      <c r="J69" t="n">
        <v>0</v>
      </c>
      <c r="K69" t="n">
        <v>0</v>
      </c>
      <c r="L69" t="n">
        <v>0</v>
      </c>
      <c r="M69" t="n">
        <v>0</v>
      </c>
      <c r="N69" t="n">
        <v>0</v>
      </c>
      <c r="O69" t="n">
        <v>0</v>
      </c>
      <c r="P69" t="n">
        <v>0</v>
      </c>
      <c r="Q69" t="n">
        <v>1</v>
      </c>
      <c r="R69" s="2" t="inlineStr">
        <is>
          <t>Lopplummer (aggregat)</t>
        </is>
      </c>
      <c r="S69">
        <f>HYPERLINK("https://klasma.github.io/Logging_1907/artfynd/A 55871-2025 artfynd.xlsx", "A 55871-2025")</f>
        <v/>
      </c>
      <c r="T69">
        <f>HYPERLINK("https://klasma.github.io/Logging_1907/kartor/A 55871-2025 karta.png", "A 55871-2025")</f>
        <v/>
      </c>
      <c r="V69">
        <f>HYPERLINK("https://klasma.github.io/Logging_1907/klagomål/A 55871-2025 FSC-klagomål.docx", "A 55871-2025")</f>
        <v/>
      </c>
      <c r="W69">
        <f>HYPERLINK("https://klasma.github.io/Logging_1907/klagomålsmail/A 55871-2025 FSC-klagomål mail.docx", "A 55871-2025")</f>
        <v/>
      </c>
      <c r="X69">
        <f>HYPERLINK("https://klasma.github.io/Logging_1907/tillsyn/A 55871-2025 tillsynsbegäran.docx", "A 55871-2025")</f>
        <v/>
      </c>
      <c r="Y69">
        <f>HYPERLINK("https://klasma.github.io/Logging_1907/tillsynsmail/A 55871-2025 tillsynsbegäran mail.docx", "A 55871-2025")</f>
        <v/>
      </c>
    </row>
    <row r="70" ht="15" customHeight="1">
      <c r="A70" t="inlineStr">
        <is>
          <t>A 56768-2025</t>
        </is>
      </c>
      <c r="B70" s="1" t="n">
        <v>45978</v>
      </c>
      <c r="C70" s="1" t="n">
        <v>46085</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22840-2023</t>
        </is>
      </c>
      <c r="B71" s="1" t="n">
        <v>45072</v>
      </c>
      <c r="C71" s="1" t="n">
        <v>46085</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10819-2024</t>
        </is>
      </c>
      <c r="B72" s="1" t="n">
        <v>45369.66049768519</v>
      </c>
      <c r="C72" s="1" t="n">
        <v>46085</v>
      </c>
      <c r="D72" t="inlineStr">
        <is>
          <t>VÄSTMANLANDS LÄN</t>
        </is>
      </c>
      <c r="E72" t="inlineStr">
        <is>
          <t>SURAHAMMAR</t>
        </is>
      </c>
      <c r="G72" t="n">
        <v>2</v>
      </c>
      <c r="H72" t="n">
        <v>0</v>
      </c>
      <c r="I72" t="n">
        <v>1</v>
      </c>
      <c r="J72" t="n">
        <v>0</v>
      </c>
      <c r="K72" t="n">
        <v>0</v>
      </c>
      <c r="L72" t="n">
        <v>0</v>
      </c>
      <c r="M72" t="n">
        <v>0</v>
      </c>
      <c r="N72" t="n">
        <v>0</v>
      </c>
      <c r="O72" t="n">
        <v>0</v>
      </c>
      <c r="P72" t="n">
        <v>0</v>
      </c>
      <c r="Q72" t="n">
        <v>1</v>
      </c>
      <c r="R72" s="2" t="inlineStr">
        <is>
          <t>Tibast</t>
        </is>
      </c>
      <c r="S72">
        <f>HYPERLINK("https://klasma.github.io/Logging_1907/artfynd/A 10819-2024 artfynd.xlsx", "A 10819-2024")</f>
        <v/>
      </c>
      <c r="T72">
        <f>HYPERLINK("https://klasma.github.io/Logging_1907/kartor/A 10819-2024 karta.png", "A 10819-2024")</f>
        <v/>
      </c>
      <c r="V72">
        <f>HYPERLINK("https://klasma.github.io/Logging_1907/klagomål/A 10819-2024 FSC-klagomål.docx", "A 10819-2024")</f>
        <v/>
      </c>
      <c r="W72">
        <f>HYPERLINK("https://klasma.github.io/Logging_1907/klagomålsmail/A 10819-2024 FSC-klagomål mail.docx", "A 10819-2024")</f>
        <v/>
      </c>
      <c r="X72">
        <f>HYPERLINK("https://klasma.github.io/Logging_1907/tillsyn/A 10819-2024 tillsynsbegäran.docx", "A 10819-2024")</f>
        <v/>
      </c>
      <c r="Y72">
        <f>HYPERLINK("https://klasma.github.io/Logging_1907/tillsynsmail/A 10819-2024 tillsynsbegäran mail.docx", "A 10819-2024")</f>
        <v/>
      </c>
    </row>
    <row r="73" ht="15" customHeight="1">
      <c r="A73" t="inlineStr">
        <is>
          <t>A 63145-2025</t>
        </is>
      </c>
      <c r="B73" s="1" t="n">
        <v>46009</v>
      </c>
      <c r="C73" s="1" t="n">
        <v>46085</v>
      </c>
      <c r="D73" t="inlineStr">
        <is>
          <t>VÄSTMANLANDS LÄN</t>
        </is>
      </c>
      <c r="E73" t="inlineStr">
        <is>
          <t>SURAHAMMAR</t>
        </is>
      </c>
      <c r="F73" t="inlineStr">
        <is>
          <t>Bergvik skog väst AB</t>
        </is>
      </c>
      <c r="G73" t="n">
        <v>40.5</v>
      </c>
      <c r="H73" t="n">
        <v>0</v>
      </c>
      <c r="I73" t="n">
        <v>1</v>
      </c>
      <c r="J73" t="n">
        <v>0</v>
      </c>
      <c r="K73" t="n">
        <v>0</v>
      </c>
      <c r="L73" t="n">
        <v>0</v>
      </c>
      <c r="M73" t="n">
        <v>0</v>
      </c>
      <c r="N73" t="n">
        <v>0</v>
      </c>
      <c r="O73" t="n">
        <v>0</v>
      </c>
      <c r="P73" t="n">
        <v>0</v>
      </c>
      <c r="Q73" t="n">
        <v>1</v>
      </c>
      <c r="R73" s="2" t="inlineStr">
        <is>
          <t>Svart trolldruva</t>
        </is>
      </c>
      <c r="S73">
        <f>HYPERLINK("https://klasma.github.io/Logging_1907/artfynd/A 63145-2025 artfynd.xlsx", "A 63145-2025")</f>
        <v/>
      </c>
      <c r="T73">
        <f>HYPERLINK("https://klasma.github.io/Logging_1907/kartor/A 63145-2025 karta.png", "A 63145-2025")</f>
        <v/>
      </c>
      <c r="V73">
        <f>HYPERLINK("https://klasma.github.io/Logging_1907/klagomål/A 63145-2025 FSC-klagomål.docx", "A 63145-2025")</f>
        <v/>
      </c>
      <c r="W73">
        <f>HYPERLINK("https://klasma.github.io/Logging_1907/klagomålsmail/A 63145-2025 FSC-klagomål mail.docx", "A 63145-2025")</f>
        <v/>
      </c>
      <c r="X73">
        <f>HYPERLINK("https://klasma.github.io/Logging_1907/tillsyn/A 63145-2025 tillsynsbegäran.docx", "A 63145-2025")</f>
        <v/>
      </c>
      <c r="Y73">
        <f>HYPERLINK("https://klasma.github.io/Logging_1907/tillsynsmail/A 63145-2025 tillsynsbegäran mail.docx", "A 63145-2025")</f>
        <v/>
      </c>
    </row>
    <row r="74" ht="15" customHeight="1">
      <c r="A74" t="inlineStr">
        <is>
          <t>A 43451-2024</t>
        </is>
      </c>
      <c r="B74" s="1" t="n">
        <v>45568</v>
      </c>
      <c r="C74" s="1" t="n">
        <v>46085</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46085</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64073-2021</t>
        </is>
      </c>
      <c r="B76" s="1" t="n">
        <v>44509</v>
      </c>
      <c r="C76" s="1" t="n">
        <v>46085</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46085</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46085</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46085</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46085</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46085</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46085</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46085</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46085</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46085</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46085</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46085</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46085</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46085</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46085</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46085</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46085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46085</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46085</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47785-2021</t>
        </is>
      </c>
      <c r="B95" s="1" t="n">
        <v>44448</v>
      </c>
      <c r="C95" s="1" t="n">
        <v>46085</v>
      </c>
      <c r="D95" t="inlineStr">
        <is>
          <t>VÄSTMANLANDS LÄN</t>
        </is>
      </c>
      <c r="E95" t="inlineStr">
        <is>
          <t>SURAHAMMAR</t>
        </is>
      </c>
      <c r="F95" t="inlineStr">
        <is>
          <t>Kommuner</t>
        </is>
      </c>
      <c r="G95" t="n">
        <v>3.3</v>
      </c>
      <c r="H95" t="n">
        <v>0</v>
      </c>
      <c r="I95" t="n">
        <v>0</v>
      </c>
      <c r="J95" t="n">
        <v>0</v>
      </c>
      <c r="K95" t="n">
        <v>0</v>
      </c>
      <c r="L95" t="n">
        <v>0</v>
      </c>
      <c r="M95" t="n">
        <v>0</v>
      </c>
      <c r="N95" t="n">
        <v>0</v>
      </c>
      <c r="O95" t="n">
        <v>0</v>
      </c>
      <c r="P95" t="n">
        <v>0</v>
      </c>
      <c r="Q95" t="n">
        <v>0</v>
      </c>
      <c r="R95" s="2" t="inlineStr"/>
    </row>
    <row r="96" ht="15" customHeight="1">
      <c r="A96" t="inlineStr">
        <is>
          <t>A 25450-2024</t>
        </is>
      </c>
      <c r="B96" s="1" t="n">
        <v>45463</v>
      </c>
      <c r="C96" s="1" t="n">
        <v>46085</v>
      </c>
      <c r="D96" t="inlineStr">
        <is>
          <t>VÄSTMANLANDS LÄN</t>
        </is>
      </c>
      <c r="E96" t="inlineStr">
        <is>
          <t>SURAHAMMAR</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46085</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46085</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4724-2026</t>
        </is>
      </c>
      <c r="B99" s="1" t="n">
        <v>46048</v>
      </c>
      <c r="C99" s="1" t="n">
        <v>46085</v>
      </c>
      <c r="D99" t="inlineStr">
        <is>
          <t>VÄSTMANLANDS LÄN</t>
        </is>
      </c>
      <c r="E99" t="inlineStr">
        <is>
          <t>SURAHAMMAR</t>
        </is>
      </c>
      <c r="G99" t="n">
        <v>1.7</v>
      </c>
      <c r="H99" t="n">
        <v>0</v>
      </c>
      <c r="I99" t="n">
        <v>0</v>
      </c>
      <c r="J99" t="n">
        <v>0</v>
      </c>
      <c r="K99" t="n">
        <v>0</v>
      </c>
      <c r="L99" t="n">
        <v>0</v>
      </c>
      <c r="M99" t="n">
        <v>0</v>
      </c>
      <c r="N99" t="n">
        <v>0</v>
      </c>
      <c r="O99" t="n">
        <v>0</v>
      </c>
      <c r="P99" t="n">
        <v>0</v>
      </c>
      <c r="Q99" t="n">
        <v>0</v>
      </c>
      <c r="R99" s="2" t="inlineStr"/>
    </row>
    <row r="100" ht="15" customHeight="1">
      <c r="A100" t="inlineStr">
        <is>
          <t>A 24665-2023</t>
        </is>
      </c>
      <c r="B100" s="1" t="n">
        <v>45084.48592592592</v>
      </c>
      <c r="C100" s="1" t="n">
        <v>46085</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4734-2026</t>
        </is>
      </c>
      <c r="B101" s="1" t="n">
        <v>46048</v>
      </c>
      <c r="C101" s="1" t="n">
        <v>46085</v>
      </c>
      <c r="D101" t="inlineStr">
        <is>
          <t>VÄSTMANLANDS LÄN</t>
        </is>
      </c>
      <c r="E101" t="inlineStr">
        <is>
          <t>SURAHAMMAR</t>
        </is>
      </c>
      <c r="G101" t="n">
        <v>0.7</v>
      </c>
      <c r="H101" t="n">
        <v>0</v>
      </c>
      <c r="I101" t="n">
        <v>0</v>
      </c>
      <c r="J101" t="n">
        <v>0</v>
      </c>
      <c r="K101" t="n">
        <v>0</v>
      </c>
      <c r="L101" t="n">
        <v>0</v>
      </c>
      <c r="M101" t="n">
        <v>0</v>
      </c>
      <c r="N101" t="n">
        <v>0</v>
      </c>
      <c r="O101" t="n">
        <v>0</v>
      </c>
      <c r="P101" t="n">
        <v>0</v>
      </c>
      <c r="Q101" t="n">
        <v>0</v>
      </c>
      <c r="R101" s="2" t="inlineStr"/>
    </row>
    <row r="102" ht="15" customHeight="1">
      <c r="A102" t="inlineStr">
        <is>
          <t>A 24167-2024</t>
        </is>
      </c>
      <c r="B102" s="1" t="n">
        <v>45456</v>
      </c>
      <c r="C102" s="1" t="n">
        <v>46085</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21509-2024</t>
        </is>
      </c>
      <c r="B103" s="1" t="n">
        <v>45441</v>
      </c>
      <c r="C103" s="1" t="n">
        <v>46085</v>
      </c>
      <c r="D103" t="inlineStr">
        <is>
          <t>VÄSTMANLANDS LÄN</t>
        </is>
      </c>
      <c r="E103" t="inlineStr">
        <is>
          <t>SURAHAMMAR</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42832-2022</t>
        </is>
      </c>
      <c r="B104" s="1" t="n">
        <v>44832</v>
      </c>
      <c r="C104" s="1" t="n">
        <v>46085</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42841-2022</t>
        </is>
      </c>
      <c r="B105" s="1" t="n">
        <v>44832</v>
      </c>
      <c r="C105" s="1" t="n">
        <v>46085</v>
      </c>
      <c r="D105" t="inlineStr">
        <is>
          <t>VÄSTMANLANDS LÄN</t>
        </is>
      </c>
      <c r="E105" t="inlineStr">
        <is>
          <t>SURAHAMMAR</t>
        </is>
      </c>
      <c r="G105" t="n">
        <v>1.8</v>
      </c>
      <c r="H105" t="n">
        <v>0</v>
      </c>
      <c r="I105" t="n">
        <v>0</v>
      </c>
      <c r="J105" t="n">
        <v>0</v>
      </c>
      <c r="K105" t="n">
        <v>0</v>
      </c>
      <c r="L105" t="n">
        <v>0</v>
      </c>
      <c r="M105" t="n">
        <v>0</v>
      </c>
      <c r="N105" t="n">
        <v>0</v>
      </c>
      <c r="O105" t="n">
        <v>0</v>
      </c>
      <c r="P105" t="n">
        <v>0</v>
      </c>
      <c r="Q105" t="n">
        <v>0</v>
      </c>
      <c r="R105" s="2" t="inlineStr"/>
    </row>
    <row r="106" ht="15" customHeight="1">
      <c r="A106" t="inlineStr">
        <is>
          <t>A 24158-2023</t>
        </is>
      </c>
      <c r="B106" s="1" t="n">
        <v>45079</v>
      </c>
      <c r="C106" s="1" t="n">
        <v>46085</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43255-2025</t>
        </is>
      </c>
      <c r="B107" s="1" t="n">
        <v>45910.55325231481</v>
      </c>
      <c r="C107" s="1" t="n">
        <v>46085</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46085</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31107-2025</t>
        </is>
      </c>
      <c r="B109" s="1" t="n">
        <v>45831</v>
      </c>
      <c r="C109" s="1" t="n">
        <v>46085</v>
      </c>
      <c r="D109" t="inlineStr">
        <is>
          <t>VÄSTMANLANDS LÄN</t>
        </is>
      </c>
      <c r="E109" t="inlineStr">
        <is>
          <t>SURAHAMMAR</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10347-2026</t>
        </is>
      </c>
      <c r="B110" s="1" t="n">
        <v>46076.69101851852</v>
      </c>
      <c r="C110" s="1" t="n">
        <v>46085</v>
      </c>
      <c r="D110" t="inlineStr">
        <is>
          <t>VÄSTMANLANDS LÄN</t>
        </is>
      </c>
      <c r="E110" t="inlineStr">
        <is>
          <t>SURAHAMMAR</t>
        </is>
      </c>
      <c r="F110" t="inlineStr">
        <is>
          <t>Allmännings- och besparingsskogar</t>
        </is>
      </c>
      <c r="G110" t="n">
        <v>3</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46085</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10244-2026</t>
        </is>
      </c>
      <c r="B112" s="1" t="n">
        <v>46076.55032407407</v>
      </c>
      <c r="C112" s="1" t="n">
        <v>46085</v>
      </c>
      <c r="D112" t="inlineStr">
        <is>
          <t>VÄSTMANLANDS LÄN</t>
        </is>
      </c>
      <c r="E112" t="inlineStr">
        <is>
          <t>SURAHAMMAR</t>
        </is>
      </c>
      <c r="F112" t="inlineStr">
        <is>
          <t>Allmännings- och besparingsskogar</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10249-2026</t>
        </is>
      </c>
      <c r="B113" s="1" t="n">
        <v>46076.55456018518</v>
      </c>
      <c r="C113" s="1" t="n">
        <v>46085</v>
      </c>
      <c r="D113" t="inlineStr">
        <is>
          <t>VÄSTMANLANDS LÄN</t>
        </is>
      </c>
      <c r="E113" t="inlineStr">
        <is>
          <t>SURAHAMMAR</t>
        </is>
      </c>
      <c r="F113" t="inlineStr">
        <is>
          <t>Allmännings- och besparingsskogar</t>
        </is>
      </c>
      <c r="G113" t="n">
        <v>4.8</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46085</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46085</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49058-2024</t>
        </is>
      </c>
      <c r="B116" s="1" t="n">
        <v>45594</v>
      </c>
      <c r="C116" s="1" t="n">
        <v>46085</v>
      </c>
      <c r="D116" t="inlineStr">
        <is>
          <t>VÄSTMANLANDS LÄN</t>
        </is>
      </c>
      <c r="E116" t="inlineStr">
        <is>
          <t>SURAHAMMAR</t>
        </is>
      </c>
      <c r="F116" t="inlineStr">
        <is>
          <t>Sveaskog</t>
        </is>
      </c>
      <c r="G116" t="n">
        <v>11.4</v>
      </c>
      <c r="H116" t="n">
        <v>0</v>
      </c>
      <c r="I116" t="n">
        <v>0</v>
      </c>
      <c r="J116" t="n">
        <v>0</v>
      </c>
      <c r="K116" t="n">
        <v>0</v>
      </c>
      <c r="L116" t="n">
        <v>0</v>
      </c>
      <c r="M116" t="n">
        <v>0</v>
      </c>
      <c r="N116" t="n">
        <v>0</v>
      </c>
      <c r="O116" t="n">
        <v>0</v>
      </c>
      <c r="P116" t="n">
        <v>0</v>
      </c>
      <c r="Q116" t="n">
        <v>0</v>
      </c>
      <c r="R116" s="2" t="inlineStr"/>
    </row>
    <row r="117" ht="15" customHeight="1">
      <c r="A117" t="inlineStr">
        <is>
          <t>A 10512-2026</t>
        </is>
      </c>
      <c r="B117" s="1" t="n">
        <v>46077.56861111111</v>
      </c>
      <c r="C117" s="1" t="n">
        <v>46085</v>
      </c>
      <c r="D117" t="inlineStr">
        <is>
          <t>VÄSTMANLANDS LÄN</t>
        </is>
      </c>
      <c r="E117" t="inlineStr">
        <is>
          <t>SURAHAMMAR</t>
        </is>
      </c>
      <c r="F117" t="inlineStr">
        <is>
          <t>Övriga Aktiebolag</t>
        </is>
      </c>
      <c r="G117" t="n">
        <v>4.3</v>
      </c>
      <c r="H117" t="n">
        <v>0</v>
      </c>
      <c r="I117" t="n">
        <v>0</v>
      </c>
      <c r="J117" t="n">
        <v>0</v>
      </c>
      <c r="K117" t="n">
        <v>0</v>
      </c>
      <c r="L117" t="n">
        <v>0</v>
      </c>
      <c r="M117" t="n">
        <v>0</v>
      </c>
      <c r="N117" t="n">
        <v>0</v>
      </c>
      <c r="O117" t="n">
        <v>0</v>
      </c>
      <c r="P117" t="n">
        <v>0</v>
      </c>
      <c r="Q117" t="n">
        <v>0</v>
      </c>
      <c r="R117" s="2" t="inlineStr"/>
    </row>
    <row r="118" ht="15" customHeight="1">
      <c r="A118" t="inlineStr">
        <is>
          <t>A 10562-2026</t>
        </is>
      </c>
      <c r="B118" s="1" t="n">
        <v>46077.64043981482</v>
      </c>
      <c r="C118" s="1" t="n">
        <v>46085</v>
      </c>
      <c r="D118" t="inlineStr">
        <is>
          <t>VÄSTMANLANDS LÄN</t>
        </is>
      </c>
      <c r="E118" t="inlineStr">
        <is>
          <t>SURAHAMMAR</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49060-2024</t>
        </is>
      </c>
      <c r="B119" s="1" t="n">
        <v>45594</v>
      </c>
      <c r="C119" s="1" t="n">
        <v>46085</v>
      </c>
      <c r="D119" t="inlineStr">
        <is>
          <t>VÄSTMANLANDS LÄN</t>
        </is>
      </c>
      <c r="E119" t="inlineStr">
        <is>
          <t>SURAHAMMAR</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19099-2022</t>
        </is>
      </c>
      <c r="B120" s="1" t="n">
        <v>44691</v>
      </c>
      <c r="C120" s="1" t="n">
        <v>46085</v>
      </c>
      <c r="D120" t="inlineStr">
        <is>
          <t>VÄSTMANLANDS LÄN</t>
        </is>
      </c>
      <c r="E120" t="inlineStr">
        <is>
          <t>SURAHAMMAR</t>
        </is>
      </c>
      <c r="F120" t="inlineStr">
        <is>
          <t>Övriga Aktiebolag</t>
        </is>
      </c>
      <c r="G120" t="n">
        <v>3.4</v>
      </c>
      <c r="H120" t="n">
        <v>0</v>
      </c>
      <c r="I120" t="n">
        <v>0</v>
      </c>
      <c r="J120" t="n">
        <v>0</v>
      </c>
      <c r="K120" t="n">
        <v>0</v>
      </c>
      <c r="L120" t="n">
        <v>0</v>
      </c>
      <c r="M120" t="n">
        <v>0</v>
      </c>
      <c r="N120" t="n">
        <v>0</v>
      </c>
      <c r="O120" t="n">
        <v>0</v>
      </c>
      <c r="P120" t="n">
        <v>0</v>
      </c>
      <c r="Q120" t="n">
        <v>0</v>
      </c>
      <c r="R120" s="2" t="inlineStr"/>
    </row>
    <row r="121" ht="15" customHeight="1">
      <c r="A121" t="inlineStr">
        <is>
          <t>A 25780-2023</t>
        </is>
      </c>
      <c r="B121" s="1" t="n">
        <v>45090.47523148148</v>
      </c>
      <c r="C121" s="1" t="n">
        <v>46085</v>
      </c>
      <c r="D121" t="inlineStr">
        <is>
          <t>VÄSTMANLANDS LÄN</t>
        </is>
      </c>
      <c r="E121" t="inlineStr">
        <is>
          <t>SURAHAMMAR</t>
        </is>
      </c>
      <c r="G121" t="n">
        <v>2.8</v>
      </c>
      <c r="H121" t="n">
        <v>0</v>
      </c>
      <c r="I121" t="n">
        <v>0</v>
      </c>
      <c r="J121" t="n">
        <v>0</v>
      </c>
      <c r="K121" t="n">
        <v>0</v>
      </c>
      <c r="L121" t="n">
        <v>0</v>
      </c>
      <c r="M121" t="n">
        <v>0</v>
      </c>
      <c r="N121" t="n">
        <v>0</v>
      </c>
      <c r="O121" t="n">
        <v>0</v>
      </c>
      <c r="P121" t="n">
        <v>0</v>
      </c>
      <c r="Q121" t="n">
        <v>0</v>
      </c>
      <c r="R121" s="2" t="inlineStr"/>
    </row>
    <row r="122" ht="15" customHeight="1">
      <c r="A122" t="inlineStr">
        <is>
          <t>A 13386-2025</t>
        </is>
      </c>
      <c r="B122" s="1" t="n">
        <v>45735</v>
      </c>
      <c r="C122" s="1" t="n">
        <v>46085</v>
      </c>
      <c r="D122" t="inlineStr">
        <is>
          <t>VÄSTMANLANDS LÄN</t>
        </is>
      </c>
      <c r="E122" t="inlineStr">
        <is>
          <t>SURAHAMMAR</t>
        </is>
      </c>
      <c r="F122" t="inlineStr">
        <is>
          <t>Bergvik skog väst AB</t>
        </is>
      </c>
      <c r="G122" t="n">
        <v>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46085</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46085</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2867-2024</t>
        </is>
      </c>
      <c r="B125" s="1" t="n">
        <v>45315</v>
      </c>
      <c r="C125" s="1" t="n">
        <v>46085</v>
      </c>
      <c r="D125" t="inlineStr">
        <is>
          <t>VÄSTMANLANDS LÄN</t>
        </is>
      </c>
      <c r="E125" t="inlineStr">
        <is>
          <t>SURAHAMMAR</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2660-2024</t>
        </is>
      </c>
      <c r="B126" s="1" t="n">
        <v>45310</v>
      </c>
      <c r="C126" s="1" t="n">
        <v>46085</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41555-2022</t>
        </is>
      </c>
      <c r="B127" s="1" t="n">
        <v>44826</v>
      </c>
      <c r="C127" s="1" t="n">
        <v>46085</v>
      </c>
      <c r="D127" t="inlineStr">
        <is>
          <t>VÄSTMANLANDS LÄN</t>
        </is>
      </c>
      <c r="E127" t="inlineStr">
        <is>
          <t>SURAHAMMAR</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3818-2022</t>
        </is>
      </c>
      <c r="B128" s="1" t="n">
        <v>44587</v>
      </c>
      <c r="C128" s="1" t="n">
        <v>46085</v>
      </c>
      <c r="D128" t="inlineStr">
        <is>
          <t>VÄSTMANLANDS LÄN</t>
        </is>
      </c>
      <c r="E128" t="inlineStr">
        <is>
          <t>SURAHAMMAR</t>
        </is>
      </c>
      <c r="G128" t="n">
        <v>2.6</v>
      </c>
      <c r="H128" t="n">
        <v>0</v>
      </c>
      <c r="I128" t="n">
        <v>0</v>
      </c>
      <c r="J128" t="n">
        <v>0</v>
      </c>
      <c r="K128" t="n">
        <v>0</v>
      </c>
      <c r="L128" t="n">
        <v>0</v>
      </c>
      <c r="M128" t="n">
        <v>0</v>
      </c>
      <c r="N128" t="n">
        <v>0</v>
      </c>
      <c r="O128" t="n">
        <v>0</v>
      </c>
      <c r="P128" t="n">
        <v>0</v>
      </c>
      <c r="Q128" t="n">
        <v>0</v>
      </c>
      <c r="R128" s="2" t="inlineStr"/>
    </row>
    <row r="129" ht="15" customHeight="1">
      <c r="A129" t="inlineStr">
        <is>
          <t>A 5567-2022</t>
        </is>
      </c>
      <c r="B129" s="1" t="n">
        <v>44595</v>
      </c>
      <c r="C129" s="1" t="n">
        <v>46085</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13119-2022</t>
        </is>
      </c>
      <c r="B130" s="1" t="n">
        <v>44643</v>
      </c>
      <c r="C130" s="1" t="n">
        <v>46085</v>
      </c>
      <c r="D130" t="inlineStr">
        <is>
          <t>VÄSTMANLANDS LÄN</t>
        </is>
      </c>
      <c r="E130" t="inlineStr">
        <is>
          <t>SURAHAMMAR</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19782-2023</t>
        </is>
      </c>
      <c r="B131" s="1" t="n">
        <v>45050</v>
      </c>
      <c r="C131" s="1" t="n">
        <v>46085</v>
      </c>
      <c r="D131" t="inlineStr">
        <is>
          <t>VÄSTMANLANDS LÄN</t>
        </is>
      </c>
      <c r="E131" t="inlineStr">
        <is>
          <t>SURAHAMMAR</t>
        </is>
      </c>
      <c r="F131" t="inlineStr">
        <is>
          <t>Bergvik skog väst AB</t>
        </is>
      </c>
      <c r="G131" t="n">
        <v>5.2</v>
      </c>
      <c r="H131" t="n">
        <v>0</v>
      </c>
      <c r="I131" t="n">
        <v>0</v>
      </c>
      <c r="J131" t="n">
        <v>0</v>
      </c>
      <c r="K131" t="n">
        <v>0</v>
      </c>
      <c r="L131" t="n">
        <v>0</v>
      </c>
      <c r="M131" t="n">
        <v>0</v>
      </c>
      <c r="N131" t="n">
        <v>0</v>
      </c>
      <c r="O131" t="n">
        <v>0</v>
      </c>
      <c r="P131" t="n">
        <v>0</v>
      </c>
      <c r="Q131" t="n">
        <v>0</v>
      </c>
      <c r="R131" s="2" t="inlineStr"/>
    </row>
    <row r="132" ht="15" customHeight="1">
      <c r="A132" t="inlineStr">
        <is>
          <t>A 55868-2025</t>
        </is>
      </c>
      <c r="B132" s="1" t="n">
        <v>45973.35263888889</v>
      </c>
      <c r="C132" s="1" t="n">
        <v>46085</v>
      </c>
      <c r="D132" t="inlineStr">
        <is>
          <t>VÄSTMANLANDS LÄN</t>
        </is>
      </c>
      <c r="E132" t="inlineStr">
        <is>
          <t>SURAHAMMAR</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55874-2025</t>
        </is>
      </c>
      <c r="B133" s="1" t="n">
        <v>45973.3569212963</v>
      </c>
      <c r="C133" s="1" t="n">
        <v>46085</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55873-2025</t>
        </is>
      </c>
      <c r="B134" s="1" t="n">
        <v>45973.35608796297</v>
      </c>
      <c r="C134" s="1" t="n">
        <v>46085</v>
      </c>
      <c r="D134" t="inlineStr">
        <is>
          <t>VÄSTMANLANDS LÄN</t>
        </is>
      </c>
      <c r="E134" t="inlineStr">
        <is>
          <t>SURAHAMMAR</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14626-2023</t>
        </is>
      </c>
      <c r="B135" s="1" t="n">
        <v>45012</v>
      </c>
      <c r="C135" s="1" t="n">
        <v>46085</v>
      </c>
      <c r="D135" t="inlineStr">
        <is>
          <t>VÄSTMANLANDS LÄN</t>
        </is>
      </c>
      <c r="E135" t="inlineStr">
        <is>
          <t>SURAHAMMAR</t>
        </is>
      </c>
      <c r="F135" t="inlineStr">
        <is>
          <t>Bergvik skog väst AB</t>
        </is>
      </c>
      <c r="G135" t="n">
        <v>5</v>
      </c>
      <c r="H135" t="n">
        <v>0</v>
      </c>
      <c r="I135" t="n">
        <v>0</v>
      </c>
      <c r="J135" t="n">
        <v>0</v>
      </c>
      <c r="K135" t="n">
        <v>0</v>
      </c>
      <c r="L135" t="n">
        <v>0</v>
      </c>
      <c r="M135" t="n">
        <v>0</v>
      </c>
      <c r="N135" t="n">
        <v>0</v>
      </c>
      <c r="O135" t="n">
        <v>0</v>
      </c>
      <c r="P135" t="n">
        <v>0</v>
      </c>
      <c r="Q135" t="n">
        <v>0</v>
      </c>
      <c r="R135" s="2" t="inlineStr"/>
    </row>
    <row r="136" ht="15" customHeight="1">
      <c r="A136" t="inlineStr">
        <is>
          <t>A 56543-2025</t>
        </is>
      </c>
      <c r="B136" s="1" t="n">
        <v>45975</v>
      </c>
      <c r="C136" s="1" t="n">
        <v>46085</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46085</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8553-2023</t>
        </is>
      </c>
      <c r="B138" s="1" t="n">
        <v>44977</v>
      </c>
      <c r="C138" s="1" t="n">
        <v>46085</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7848-2022</t>
        </is>
      </c>
      <c r="B139" s="1" t="n">
        <v>44608.58400462963</v>
      </c>
      <c r="C139" s="1" t="n">
        <v>46085</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56378-2023</t>
        </is>
      </c>
      <c r="B140" s="1" t="n">
        <v>45236</v>
      </c>
      <c r="C140" s="1" t="n">
        <v>46085</v>
      </c>
      <c r="D140" t="inlineStr">
        <is>
          <t>VÄSTMANLANDS LÄN</t>
        </is>
      </c>
      <c r="E140" t="inlineStr">
        <is>
          <t>SURAHAMMAR</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59399-2025</t>
        </is>
      </c>
      <c r="B141" s="1" t="n">
        <v>45989</v>
      </c>
      <c r="C141" s="1" t="n">
        <v>46085</v>
      </c>
      <c r="D141" t="inlineStr">
        <is>
          <t>VÄSTMANLANDS LÄN</t>
        </is>
      </c>
      <c r="E141" t="inlineStr">
        <is>
          <t>SURAHAMMAR</t>
        </is>
      </c>
      <c r="F141" t="inlineStr">
        <is>
          <t>Kommuner</t>
        </is>
      </c>
      <c r="G141" t="n">
        <v>2.1</v>
      </c>
      <c r="H141" t="n">
        <v>0</v>
      </c>
      <c r="I141" t="n">
        <v>0</v>
      </c>
      <c r="J141" t="n">
        <v>0</v>
      </c>
      <c r="K141" t="n">
        <v>0</v>
      </c>
      <c r="L141" t="n">
        <v>0</v>
      </c>
      <c r="M141" t="n">
        <v>0</v>
      </c>
      <c r="N141" t="n">
        <v>0</v>
      </c>
      <c r="O141" t="n">
        <v>0</v>
      </c>
      <c r="P141" t="n">
        <v>0</v>
      </c>
      <c r="Q141" t="n">
        <v>0</v>
      </c>
      <c r="R141" s="2" t="inlineStr"/>
    </row>
    <row r="142" ht="15" customHeight="1">
      <c r="A142" t="inlineStr">
        <is>
          <t>A 56541-2025</t>
        </is>
      </c>
      <c r="B142" s="1" t="n">
        <v>45975</v>
      </c>
      <c r="C142" s="1" t="n">
        <v>46085</v>
      </c>
      <c r="D142" t="inlineStr">
        <is>
          <t>VÄSTMANLANDS LÄN</t>
        </is>
      </c>
      <c r="E142" t="inlineStr">
        <is>
          <t>SURAHAMMAR</t>
        </is>
      </c>
      <c r="F142" t="inlineStr">
        <is>
          <t>Sveaskog</t>
        </is>
      </c>
      <c r="G142" t="n">
        <v>7.6</v>
      </c>
      <c r="H142" t="n">
        <v>0</v>
      </c>
      <c r="I142" t="n">
        <v>0</v>
      </c>
      <c r="J142" t="n">
        <v>0</v>
      </c>
      <c r="K142" t="n">
        <v>0</v>
      </c>
      <c r="L142" t="n">
        <v>0</v>
      </c>
      <c r="M142" t="n">
        <v>0</v>
      </c>
      <c r="N142" t="n">
        <v>0</v>
      </c>
      <c r="O142" t="n">
        <v>0</v>
      </c>
      <c r="P142" t="n">
        <v>0</v>
      </c>
      <c r="Q142" t="n">
        <v>0</v>
      </c>
      <c r="R142" s="2" t="inlineStr"/>
    </row>
    <row r="143" ht="15" customHeight="1">
      <c r="A143" t="inlineStr">
        <is>
          <t>A 11728-2023</t>
        </is>
      </c>
      <c r="B143" s="1" t="n">
        <v>44993</v>
      </c>
      <c r="C143" s="1" t="n">
        <v>46085</v>
      </c>
      <c r="D143" t="inlineStr">
        <is>
          <t>VÄSTMANLANDS LÄN</t>
        </is>
      </c>
      <c r="E143" t="inlineStr">
        <is>
          <t>SURAHAMMAR</t>
        </is>
      </c>
      <c r="F143" t="inlineStr">
        <is>
          <t>Bergvik skog väst AB</t>
        </is>
      </c>
      <c r="G143" t="n">
        <v>0.4</v>
      </c>
      <c r="H143" t="n">
        <v>0</v>
      </c>
      <c r="I143" t="n">
        <v>0</v>
      </c>
      <c r="J143" t="n">
        <v>0</v>
      </c>
      <c r="K143" t="n">
        <v>0</v>
      </c>
      <c r="L143" t="n">
        <v>0</v>
      </c>
      <c r="M143" t="n">
        <v>0</v>
      </c>
      <c r="N143" t="n">
        <v>0</v>
      </c>
      <c r="O143" t="n">
        <v>0</v>
      </c>
      <c r="P143" t="n">
        <v>0</v>
      </c>
      <c r="Q143" t="n">
        <v>0</v>
      </c>
      <c r="R143" s="2" t="inlineStr"/>
    </row>
    <row r="144" ht="15" customHeight="1">
      <c r="A144" t="inlineStr">
        <is>
          <t>A 16608-2022</t>
        </is>
      </c>
      <c r="B144" s="1" t="n">
        <v>44672</v>
      </c>
      <c r="C144" s="1" t="n">
        <v>46085</v>
      </c>
      <c r="D144" t="inlineStr">
        <is>
          <t>VÄSTMANLANDS LÄN</t>
        </is>
      </c>
      <c r="E144" t="inlineStr">
        <is>
          <t>SURAHAMMAR</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15743-2023</t>
        </is>
      </c>
      <c r="B145" s="1" t="n">
        <v>45021</v>
      </c>
      <c r="C145" s="1" t="n">
        <v>46085</v>
      </c>
      <c r="D145" t="inlineStr">
        <is>
          <t>VÄSTMANLANDS LÄN</t>
        </is>
      </c>
      <c r="E145" t="inlineStr">
        <is>
          <t>SURAHAMMAR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63138-2025</t>
        </is>
      </c>
      <c r="B146" s="1" t="n">
        <v>46009</v>
      </c>
      <c r="C146" s="1" t="n">
        <v>46085</v>
      </c>
      <c r="D146" t="inlineStr">
        <is>
          <t>VÄSTMANLANDS LÄN</t>
        </is>
      </c>
      <c r="E146" t="inlineStr">
        <is>
          <t>SURAHAMMAR</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46085</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46085</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5698-2026</t>
        </is>
      </c>
      <c r="B149" s="1" t="n">
        <v>46051.50196759259</v>
      </c>
      <c r="C149" s="1" t="n">
        <v>46085</v>
      </c>
      <c r="D149" t="inlineStr">
        <is>
          <t>VÄSTMANLANDS LÄN</t>
        </is>
      </c>
      <c r="E149" t="inlineStr">
        <is>
          <t>SURAHAMMAR</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16013-2023</t>
        </is>
      </c>
      <c r="B150" s="1" t="n">
        <v>45026</v>
      </c>
      <c r="C150" s="1" t="n">
        <v>46085</v>
      </c>
      <c r="D150" t="inlineStr">
        <is>
          <t>VÄSTMANLANDS LÄN</t>
        </is>
      </c>
      <c r="E150" t="inlineStr">
        <is>
          <t>SURAHAMMAR</t>
        </is>
      </c>
      <c r="G150" t="n">
        <v>3.9</v>
      </c>
      <c r="H150" t="n">
        <v>0</v>
      </c>
      <c r="I150" t="n">
        <v>0</v>
      </c>
      <c r="J150" t="n">
        <v>0</v>
      </c>
      <c r="K150" t="n">
        <v>0</v>
      </c>
      <c r="L150" t="n">
        <v>0</v>
      </c>
      <c r="M150" t="n">
        <v>0</v>
      </c>
      <c r="N150" t="n">
        <v>0</v>
      </c>
      <c r="O150" t="n">
        <v>0</v>
      </c>
      <c r="P150" t="n">
        <v>0</v>
      </c>
      <c r="Q150" t="n">
        <v>0</v>
      </c>
      <c r="R150" s="2" t="inlineStr"/>
    </row>
    <row r="151" ht="15" customHeight="1">
      <c r="A151" t="inlineStr">
        <is>
          <t>A 5696-2026</t>
        </is>
      </c>
      <c r="B151" s="1" t="n">
        <v>46051.4975</v>
      </c>
      <c r="C151" s="1" t="n">
        <v>46085</v>
      </c>
      <c r="D151" t="inlineStr">
        <is>
          <t>VÄSTMANLANDS LÄN</t>
        </is>
      </c>
      <c r="E151" t="inlineStr">
        <is>
          <t>SURAHAMMAR</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20904-2023</t>
        </is>
      </c>
      <c r="B152" s="1" t="n">
        <v>45060</v>
      </c>
      <c r="C152" s="1" t="n">
        <v>46085</v>
      </c>
      <c r="D152" t="inlineStr">
        <is>
          <t>VÄSTMANLANDS LÄN</t>
        </is>
      </c>
      <c r="E152" t="inlineStr">
        <is>
          <t>SURAHAMMAR</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15637-2022</t>
        </is>
      </c>
      <c r="B153" s="1" t="n">
        <v>44662.89638888889</v>
      </c>
      <c r="C153" s="1" t="n">
        <v>46085</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42829-2022</t>
        </is>
      </c>
      <c r="B154" s="1" t="n">
        <v>44832</v>
      </c>
      <c r="C154" s="1" t="n">
        <v>46085</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19786-2023</t>
        </is>
      </c>
      <c r="B155" s="1" t="n">
        <v>45050</v>
      </c>
      <c r="C155" s="1" t="n">
        <v>46085</v>
      </c>
      <c r="D155" t="inlineStr">
        <is>
          <t>VÄSTMANLANDS LÄN</t>
        </is>
      </c>
      <c r="E155" t="inlineStr">
        <is>
          <t>SURAHAMMAR</t>
        </is>
      </c>
      <c r="F155" t="inlineStr">
        <is>
          <t>Bergvik skog väst AB</t>
        </is>
      </c>
      <c r="G155" t="n">
        <v>8.1</v>
      </c>
      <c r="H155" t="n">
        <v>0</v>
      </c>
      <c r="I155" t="n">
        <v>0</v>
      </c>
      <c r="J155" t="n">
        <v>0</v>
      </c>
      <c r="K155" t="n">
        <v>0</v>
      </c>
      <c r="L155" t="n">
        <v>0</v>
      </c>
      <c r="M155" t="n">
        <v>0</v>
      </c>
      <c r="N155" t="n">
        <v>0</v>
      </c>
      <c r="O155" t="n">
        <v>0</v>
      </c>
      <c r="P155" t="n">
        <v>0</v>
      </c>
      <c r="Q155" t="n">
        <v>0</v>
      </c>
      <c r="R155" s="2" t="inlineStr"/>
    </row>
    <row r="156" ht="15" customHeight="1">
      <c r="A156" t="inlineStr">
        <is>
          <t>A 34955-2022</t>
        </is>
      </c>
      <c r="B156" s="1" t="n">
        <v>44796</v>
      </c>
      <c r="C156" s="1" t="n">
        <v>46085</v>
      </c>
      <c r="D156" t="inlineStr">
        <is>
          <t>VÄSTMANLANDS LÄN</t>
        </is>
      </c>
      <c r="E156" t="inlineStr">
        <is>
          <t>SURAHAMMAR</t>
        </is>
      </c>
      <c r="F156" t="inlineStr">
        <is>
          <t>Sveaskog</t>
        </is>
      </c>
      <c r="G156" t="n">
        <v>4.6</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46085</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48205-2023</t>
        </is>
      </c>
      <c r="B158" s="1" t="n">
        <v>45205</v>
      </c>
      <c r="C158" s="1" t="n">
        <v>46085</v>
      </c>
      <c r="D158" t="inlineStr">
        <is>
          <t>VÄSTMANLANDS LÄN</t>
        </is>
      </c>
      <c r="E158" t="inlineStr">
        <is>
          <t>SURAHAMMAR</t>
        </is>
      </c>
      <c r="F158" t="inlineStr">
        <is>
          <t>Allmännings- och besparingsskogar</t>
        </is>
      </c>
      <c r="G158" t="n">
        <v>7.6</v>
      </c>
      <c r="H158" t="n">
        <v>0</v>
      </c>
      <c r="I158" t="n">
        <v>0</v>
      </c>
      <c r="J158" t="n">
        <v>0</v>
      </c>
      <c r="K158" t="n">
        <v>0</v>
      </c>
      <c r="L158" t="n">
        <v>0</v>
      </c>
      <c r="M158" t="n">
        <v>0</v>
      </c>
      <c r="N158" t="n">
        <v>0</v>
      </c>
      <c r="O158" t="n">
        <v>0</v>
      </c>
      <c r="P158" t="n">
        <v>0</v>
      </c>
      <c r="Q158" t="n">
        <v>0</v>
      </c>
      <c r="R158" s="2" t="inlineStr"/>
    </row>
    <row r="159" ht="15" customHeight="1">
      <c r="A159" t="inlineStr">
        <is>
          <t>A 7787-2024</t>
        </is>
      </c>
      <c r="B159" s="1" t="n">
        <v>45348</v>
      </c>
      <c r="C159" s="1" t="n">
        <v>46085</v>
      </c>
      <c r="D159" t="inlineStr">
        <is>
          <t>VÄSTMANLANDS LÄN</t>
        </is>
      </c>
      <c r="E159" t="inlineStr">
        <is>
          <t>SURAHAMMAR</t>
        </is>
      </c>
      <c r="G159" t="n">
        <v>1</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44790.65153935185</v>
      </c>
      <c r="C160" s="1" t="n">
        <v>46085</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22662-2023</t>
        </is>
      </c>
      <c r="B161" s="1" t="n">
        <v>45071</v>
      </c>
      <c r="C161" s="1" t="n">
        <v>46085</v>
      </c>
      <c r="D161" t="inlineStr">
        <is>
          <t>VÄSTMANLANDS LÄN</t>
        </is>
      </c>
      <c r="E161" t="inlineStr">
        <is>
          <t>SURAHAMMAR</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15739-2023</t>
        </is>
      </c>
      <c r="B162" s="1" t="n">
        <v>45021</v>
      </c>
      <c r="C162" s="1" t="n">
        <v>46085</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44405.42373842592</v>
      </c>
      <c r="C163" s="1" t="n">
        <v>46085</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34584-2025</t>
        </is>
      </c>
      <c r="B164" s="1" t="n">
        <v>45846</v>
      </c>
      <c r="C164" s="1" t="n">
        <v>46085</v>
      </c>
      <c r="D164" t="inlineStr">
        <is>
          <t>VÄSTMANLANDS LÄN</t>
        </is>
      </c>
      <c r="E164" t="inlineStr">
        <is>
          <t>SURAHAMMAR</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32910-2025</t>
        </is>
      </c>
      <c r="B165" s="1" t="n">
        <v>45839</v>
      </c>
      <c r="C165" s="1" t="n">
        <v>46085</v>
      </c>
      <c r="D165" t="inlineStr">
        <is>
          <t>VÄSTMANLANDS LÄN</t>
        </is>
      </c>
      <c r="E165" t="inlineStr">
        <is>
          <t>SURAHAMMAR</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32916-2025</t>
        </is>
      </c>
      <c r="B166" s="1" t="n">
        <v>45839</v>
      </c>
      <c r="C166" s="1" t="n">
        <v>46085</v>
      </c>
      <c r="D166" t="inlineStr">
        <is>
          <t>VÄSTMANLANDS LÄN</t>
        </is>
      </c>
      <c r="E166" t="inlineStr">
        <is>
          <t>SURAHAMMAR</t>
        </is>
      </c>
      <c r="F166" t="inlineStr">
        <is>
          <t>Kommuner</t>
        </is>
      </c>
      <c r="G166" t="n">
        <v>4.9</v>
      </c>
      <c r="H166" t="n">
        <v>0</v>
      </c>
      <c r="I166" t="n">
        <v>0</v>
      </c>
      <c r="J166" t="n">
        <v>0</v>
      </c>
      <c r="K166" t="n">
        <v>0</v>
      </c>
      <c r="L166" t="n">
        <v>0</v>
      </c>
      <c r="M166" t="n">
        <v>0</v>
      </c>
      <c r="N166" t="n">
        <v>0</v>
      </c>
      <c r="O166" t="n">
        <v>0</v>
      </c>
      <c r="P166" t="n">
        <v>0</v>
      </c>
      <c r="Q166" t="n">
        <v>0</v>
      </c>
      <c r="R166" s="2" t="inlineStr"/>
    </row>
    <row r="167" ht="15" customHeight="1">
      <c r="A167" t="inlineStr">
        <is>
          <t>A 37013-2025</t>
        </is>
      </c>
      <c r="B167" s="1" t="n">
        <v>45874</v>
      </c>
      <c r="C167" s="1" t="n">
        <v>46085</v>
      </c>
      <c r="D167" t="inlineStr">
        <is>
          <t>VÄSTMANLANDS LÄN</t>
        </is>
      </c>
      <c r="E167" t="inlineStr">
        <is>
          <t>SURAHAMMAR</t>
        </is>
      </c>
      <c r="F167" t="inlineStr">
        <is>
          <t>Bergvik skog väst AB</t>
        </is>
      </c>
      <c r="G167" t="n">
        <v>10.7</v>
      </c>
      <c r="H167" t="n">
        <v>0</v>
      </c>
      <c r="I167" t="n">
        <v>0</v>
      </c>
      <c r="J167" t="n">
        <v>0</v>
      </c>
      <c r="K167" t="n">
        <v>0</v>
      </c>
      <c r="L167" t="n">
        <v>0</v>
      </c>
      <c r="M167" t="n">
        <v>0</v>
      </c>
      <c r="N167" t="n">
        <v>0</v>
      </c>
      <c r="O167" t="n">
        <v>0</v>
      </c>
      <c r="P167" t="n">
        <v>0</v>
      </c>
      <c r="Q167" t="n">
        <v>0</v>
      </c>
      <c r="R167" s="2" t="inlineStr"/>
    </row>
    <row r="168">
      <c r="A168" t="inlineStr">
        <is>
          <t>A 37954-2025</t>
        </is>
      </c>
      <c r="B168" s="1" t="n">
        <v>45881</v>
      </c>
      <c r="C168" s="1" t="n">
        <v>46085</v>
      </c>
      <c r="D168" t="inlineStr">
        <is>
          <t>VÄSTMANLANDS LÄN</t>
        </is>
      </c>
      <c r="E168" t="inlineStr">
        <is>
          <t>SURAHAMMAR</t>
        </is>
      </c>
      <c r="G168" t="n">
        <v>9.5</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2026-03-04T11:12:00Z</dcterms:created>
  <dcterms:modified xmlns:dcterms="http://purl.org/dc/terms/" xmlns:xsi="http://www.w3.org/2001/XMLSchema-instance" xsi:type="dcterms:W3CDTF">2026-03-04T11:12:00Z</dcterms:modified>
</cp:coreProperties>
</file>