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46260</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233</v>
      </c>
      <c r="U4" t="n">
        <v>97</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46260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46260</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46260</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46260</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46260</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46260</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46260</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46260</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46260</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46260</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46260</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46260</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46260</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39594-2025</t>
        </is>
      </c>
      <c r="B18" t="inlineStr">
        <is>
          <t>avverkningsanmälan</t>
        </is>
      </c>
      <c r="C18" t="inlineStr">
        <is>
          <t>Föryngringsavverkning</t>
        </is>
      </c>
      <c r="D18" s="1" t="n">
        <v>45890</v>
      </c>
      <c r="E18" s="1" t="n">
        <v>46260</v>
      </c>
      <c r="F18" t="inlineStr">
        <is>
          <t>VÄSTMANLANDS LÄN</t>
        </is>
      </c>
      <c r="G18" t="inlineStr">
        <is>
          <t>SURAHAMMAR</t>
        </is>
      </c>
      <c r="H18" t="inlineStr">
        <is>
          <t>Bergvik skog väst AB</t>
        </is>
      </c>
      <c r="I18" t="n">
        <v>7</v>
      </c>
      <c r="J18" t="n">
        <v>6</v>
      </c>
      <c r="K18" t="n">
        <v>3</v>
      </c>
      <c r="L18" t="n">
        <v>5</v>
      </c>
      <c r="M18" t="n">
        <v>0</v>
      </c>
      <c r="N18" t="n">
        <v>0</v>
      </c>
      <c r="O18" t="n">
        <v>0</v>
      </c>
      <c r="P18" t="n">
        <v>0</v>
      </c>
      <c r="Q18" t="n">
        <v>5</v>
      </c>
      <c r="R18" t="n">
        <v>0</v>
      </c>
      <c r="S18" t="n">
        <v>11</v>
      </c>
      <c r="T18" t="n">
        <v>14</v>
      </c>
      <c r="U18" t="n">
        <v>10</v>
      </c>
      <c r="V18" s="2" t="inlineStr">
        <is>
          <t>Brunlångöra
Dropptaggsvamp
Gropticka
Nordfladdermus
Talltita
Bronshjon
Gullgröppa
Vedticka
Järpe
Tjäder
Dvärgpipistrell</t>
        </is>
      </c>
      <c r="W18">
        <f>HYPERLINK("https://klasma.github.io/Logging_1907/artfynd/A 39594-2025 artfynd.xlsx", "A 39594-2025")</f>
        <v/>
      </c>
      <c r="X18">
        <f>HYPERLINK("https://klasma.github.io/Logging_1907/kartor/A 39594-2025 karta.png", "A 39594-2025")</f>
        <v/>
      </c>
      <c r="Y18">
        <f>HYPERLINK("https://klasma.github.io/Logging_1907/kartor_geotiff/A 39594-2025 georefererad karta.tif", "A 39594-2025")</f>
        <v/>
      </c>
      <c r="AA18">
        <f>HYPERLINK("https://klasma.github.io/Logging_1907/klagomål/A 39594-2025 FSC-klagomål.docx", "A 39594-2025")</f>
        <v/>
      </c>
      <c r="AB18">
        <f>HYPERLINK("https://klasma.github.io/Logging_1907/klagomålsmail/A 39594-2025 FSC-klagomål mail.docx", "A 39594-2025")</f>
        <v/>
      </c>
      <c r="AC18">
        <f>HYPERLINK("https://klasma.github.io/Logging_1907/tillsyn/A 39594-2025 tillsynsbegäran.docx", "A 39594-2025")</f>
        <v/>
      </c>
      <c r="AD18">
        <f>HYPERLINK("https://klasma.github.io/Logging_1907/tillsynsmail/A 39594-2025 tillsynsbegäran mail.docx", "A 39594-2025")</f>
        <v/>
      </c>
      <c r="AE18">
        <f>HYPERLINK("https://klasma.github.io/Logging_1907/fåglar/A 39594-2025 prioriterade fågelarter.docx", "A 39594-2025")</f>
        <v/>
      </c>
    </row>
    <row r="19" ht="15" customHeight="1">
      <c r="A19" t="inlineStr">
        <is>
          <t>A 42853-2022</t>
        </is>
      </c>
      <c r="B19" t="inlineStr">
        <is>
          <t>avverkningsanmälan</t>
        </is>
      </c>
      <c r="C19" t="inlineStr">
        <is>
          <t>Avverkning för att bevara och utveckla /försöksver</t>
        </is>
      </c>
      <c r="D19" s="1" t="n">
        <v>44832</v>
      </c>
      <c r="E19" s="1" t="n">
        <v>46260</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34040-2024</t>
        </is>
      </c>
      <c r="B20" t="inlineStr">
        <is>
          <t>avverkningsanmälan</t>
        </is>
      </c>
      <c r="C20" t="inlineStr">
        <is>
          <t>Föryngringsavverkning</t>
        </is>
      </c>
      <c r="D20" s="1" t="n">
        <v>45523</v>
      </c>
      <c r="E20" s="1" t="n">
        <v>46260</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46260</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31060-2026</t>
        </is>
      </c>
      <c r="B22" t="inlineStr">
        <is>
          <t>avverkningsanmälan</t>
        </is>
      </c>
      <c r="C22" t="inlineStr">
        <is>
          <t>Föryngringsavverkning</t>
        </is>
      </c>
      <c r="D22" s="1" t="n">
        <v>46215</v>
      </c>
      <c r="E22" s="1" t="n">
        <v>46260</v>
      </c>
      <c r="F22" t="inlineStr">
        <is>
          <t>VÄSTMANLANDS LÄN</t>
        </is>
      </c>
      <c r="G22" t="inlineStr">
        <is>
          <t>SURAHAMMAR</t>
        </is>
      </c>
      <c r="H22" t="inlineStr">
        <is>
          <t>Sveaskog</t>
        </is>
      </c>
      <c r="I22" t="n">
        <v>7.8</v>
      </c>
      <c r="J22" t="n">
        <v>7</v>
      </c>
      <c r="K22" t="n">
        <v>2</v>
      </c>
      <c r="L22" t="n">
        <v>2</v>
      </c>
      <c r="M22" t="n">
        <v>0</v>
      </c>
      <c r="N22" t="n">
        <v>1</v>
      </c>
      <c r="O22" t="n">
        <v>0</v>
      </c>
      <c r="P22" t="n">
        <v>0</v>
      </c>
      <c r="Q22" t="n">
        <v>3</v>
      </c>
      <c r="R22" t="n">
        <v>1</v>
      </c>
      <c r="S22" t="n">
        <v>9</v>
      </c>
      <c r="T22" t="n">
        <v>9</v>
      </c>
      <c r="U22" t="n">
        <v>3</v>
      </c>
      <c r="V22" s="2" t="inlineStr">
        <is>
          <t>Bombmurkla
Brunlångöra
Nordfladdermus
Springkorn
Vedticka
Spillkråka
Dvärgpipistrell
Åkergroda
Vanlig groda</t>
        </is>
      </c>
      <c r="W22">
        <f>HYPERLINK("https://klasma.github.io/Logging_1907/artfynd/A 31060-2026 artfynd.xlsx", "A 31060-2026")</f>
        <v/>
      </c>
      <c r="X22">
        <f>HYPERLINK("https://klasma.github.io/Logging_1907/kartor/A 31060-2026 karta.png", "A 31060-2026")</f>
        <v/>
      </c>
      <c r="Y22">
        <f>HYPERLINK("https://klasma.github.io/Logging_1907/kartor_geotiff/A 31060-2026 georefererad karta.tif", "A 31060-2026")</f>
        <v/>
      </c>
      <c r="AA22">
        <f>HYPERLINK("https://klasma.github.io/Logging_1907/klagomål/A 31060-2026 FSC-klagomål.docx", "A 31060-2026")</f>
        <v/>
      </c>
      <c r="AB22">
        <f>HYPERLINK("https://klasma.github.io/Logging_1907/klagomålsmail/A 31060-2026 FSC-klagomål mail.docx", "A 31060-2026")</f>
        <v/>
      </c>
      <c r="AC22">
        <f>HYPERLINK("https://klasma.github.io/Logging_1907/tillsyn/A 31060-2026 tillsynsbegäran.docx", "A 31060-2026")</f>
        <v/>
      </c>
      <c r="AD22">
        <f>HYPERLINK("https://klasma.github.io/Logging_1907/tillsynsmail/A 31060-2026 tillsynsbegäran mail.docx", "A 31060-2026")</f>
        <v/>
      </c>
      <c r="AE22">
        <f>HYPERLINK("https://klasma.github.io/Logging_1907/fåglar/A 31060-2026 prioriterade fågelarter.docx", "A 31060-2026")</f>
        <v/>
      </c>
    </row>
    <row r="23" ht="15" customHeight="1">
      <c r="A23" t="inlineStr">
        <is>
          <t>A 44798-2024</t>
        </is>
      </c>
      <c r="B23" t="inlineStr">
        <is>
          <t>avverkningsanmälan</t>
        </is>
      </c>
      <c r="C23" t="inlineStr">
        <is>
          <t>Föryngringsavverkning</t>
        </is>
      </c>
      <c r="D23" s="1" t="n">
        <v>45574</v>
      </c>
      <c r="E23" s="1" t="n">
        <v>46260</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20391-2024</t>
        </is>
      </c>
      <c r="B24" t="inlineStr">
        <is>
          <t>avverkningsanmälan</t>
        </is>
      </c>
      <c r="C24" t="inlineStr">
        <is>
          <t>Föryngringsavverkning</t>
        </is>
      </c>
      <c r="D24" s="1" t="n">
        <v>45435</v>
      </c>
      <c r="E24" s="1" t="n">
        <v>46260</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46260</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56299-2021</t>
        </is>
      </c>
      <c r="B26" t="inlineStr">
        <is>
          <t>avverkningsanmälan</t>
        </is>
      </c>
      <c r="C26" t="inlineStr">
        <is>
          <t>Föryngringsavverkning</t>
        </is>
      </c>
      <c r="D26" s="1" t="n">
        <v>44477</v>
      </c>
      <c r="E26" s="1" t="n">
        <v>46260</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46260</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22840-2023</t>
        </is>
      </c>
      <c r="B28" t="inlineStr">
        <is>
          <t>avverkningsanmälan</t>
        </is>
      </c>
      <c r="C28" t="inlineStr">
        <is>
          <t>Föryngringsavverkning</t>
        </is>
      </c>
      <c r="D28" s="1" t="n">
        <v>45072</v>
      </c>
      <c r="E28" s="1" t="n">
        <v>46260</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46260</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46260</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46260</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10236-2026</t>
        </is>
      </c>
      <c r="B32" t="inlineStr">
        <is>
          <t>avverkningsanmälan</t>
        </is>
      </c>
      <c r="C32" t="inlineStr">
        <is>
          <t>Föryngringsavverkning</t>
        </is>
      </c>
      <c r="D32" s="1" t="n">
        <v>46076</v>
      </c>
      <c r="E32" s="1" t="n">
        <v>46260</v>
      </c>
      <c r="F32" t="inlineStr">
        <is>
          <t>VÄSTMANLANDS LÄN</t>
        </is>
      </c>
      <c r="G32" t="inlineStr">
        <is>
          <t>SURAHAMMAR</t>
        </is>
      </c>
      <c r="H32" t="inlineStr">
        <is>
          <t>Allmännings- och besparingsskogar</t>
        </is>
      </c>
      <c r="I32" t="n">
        <v>2.8</v>
      </c>
      <c r="J32" t="n">
        <v>2</v>
      </c>
      <c r="K32" t="n">
        <v>2</v>
      </c>
      <c r="L32" t="n">
        <v>2</v>
      </c>
      <c r="M32" t="n">
        <v>0</v>
      </c>
      <c r="N32" t="n">
        <v>0</v>
      </c>
      <c r="O32" t="n">
        <v>0</v>
      </c>
      <c r="P32" t="n">
        <v>0</v>
      </c>
      <c r="Q32" t="n">
        <v>2</v>
      </c>
      <c r="R32" t="n">
        <v>0</v>
      </c>
      <c r="S32" t="n">
        <v>6</v>
      </c>
      <c r="T32" t="n">
        <v>13</v>
      </c>
      <c r="U32" t="n">
        <v>0</v>
      </c>
      <c r="V32" s="2" t="inlineStr">
        <is>
          <t>Gullpudra
Vågticka
Brandticka
Strutbräken
Lopplummer (aggregat)
Revlummer</t>
        </is>
      </c>
      <c r="W32">
        <f>HYPERLINK("https://klasma.github.io/Logging_1907/artfynd/A 10236-2026 artfynd.xlsx", "A 10236-2026")</f>
        <v/>
      </c>
      <c r="X32">
        <f>HYPERLINK("https://klasma.github.io/Logging_1907/kartor/A 10236-2026 karta.png", "A 10236-2026")</f>
        <v/>
      </c>
      <c r="Y32">
        <f>HYPERLINK("https://klasma.github.io/Logging_1907/kartor_geotiff/A 10236-2026 georefererad karta.tif", "A 10236-2026")</f>
        <v/>
      </c>
      <c r="AA32">
        <f>HYPERLINK("https://klasma.github.io/Logging_1907/klagomål/A 10236-2026 FSC-klagomål.docx", "A 10236-2026")</f>
        <v/>
      </c>
      <c r="AB32">
        <f>HYPERLINK("https://klasma.github.io/Logging_1907/klagomålsmail/A 10236-2026 FSC-klagomål mail.docx", "A 10236-2026")</f>
        <v/>
      </c>
      <c r="AC32">
        <f>HYPERLINK("https://klasma.github.io/Logging_1907/tillsyn/A 10236-2026 tillsynsbegäran.docx", "A 10236-2026")</f>
        <v/>
      </c>
      <c r="AD32">
        <f>HYPERLINK("https://klasma.github.io/Logging_1907/tillsynsmail/A 10236-2026 tillsynsbegäran mail.docx", "A 10236-2026")</f>
        <v/>
      </c>
    </row>
    <row r="33" ht="15" customHeight="1">
      <c r="A33" t="inlineStr">
        <is>
          <t>A 63145-2025</t>
        </is>
      </c>
      <c r="B33" t="inlineStr">
        <is>
          <t>avverkningsanmälan</t>
        </is>
      </c>
      <c r="C33" t="inlineStr">
        <is>
          <t>Föryngringsavverkning</t>
        </is>
      </c>
      <c r="D33" s="1" t="n">
        <v>46009</v>
      </c>
      <c r="E33" s="1" t="n">
        <v>46260</v>
      </c>
      <c r="F33" t="inlineStr">
        <is>
          <t>VÄSTMANLANDS LÄN</t>
        </is>
      </c>
      <c r="G33" t="inlineStr">
        <is>
          <t>SURAHAMMAR</t>
        </is>
      </c>
      <c r="H33" t="inlineStr">
        <is>
          <t>Bergvik skog väst AB</t>
        </is>
      </c>
      <c r="I33" t="n">
        <v>40.5</v>
      </c>
      <c r="J33" t="n">
        <v>5</v>
      </c>
      <c r="K33" t="n">
        <v>1</v>
      </c>
      <c r="L33" t="n">
        <v>2</v>
      </c>
      <c r="M33" t="n">
        <v>1</v>
      </c>
      <c r="N33" t="n">
        <v>0</v>
      </c>
      <c r="O33" t="n">
        <v>0</v>
      </c>
      <c r="P33" t="n">
        <v>0</v>
      </c>
      <c r="Q33" t="n">
        <v>3</v>
      </c>
      <c r="R33" t="n">
        <v>1</v>
      </c>
      <c r="S33" t="n">
        <v>6</v>
      </c>
      <c r="T33" t="n">
        <v>13</v>
      </c>
      <c r="U33" t="n">
        <v>0</v>
      </c>
      <c r="V33" s="2" t="inlineStr">
        <is>
          <t>Väddnätfjäril
Mindre hackspett
Talltita
Svart trolldruva
Kungsfågel
Nattviol</t>
        </is>
      </c>
      <c r="W33">
        <f>HYPERLINK("https://klasma.github.io/Logging_1907/artfynd/A 63145-2025 artfynd.xlsx", "A 63145-2025")</f>
        <v/>
      </c>
      <c r="X33">
        <f>HYPERLINK("https://klasma.github.io/Logging_1907/kartor/A 63145-2025 karta.png", "A 63145-2025")</f>
        <v/>
      </c>
      <c r="Y33">
        <f>HYPERLINK("https://klasma.github.io/Logging_1907/kartor_geotiff/A 63145-2025 georefererad karta.tif", "A 63145-2025")</f>
        <v/>
      </c>
      <c r="AA33">
        <f>HYPERLINK("https://klasma.github.io/Logging_1907/klagomål/A 63145-2025 FSC-klagomål.docx", "A 63145-2025")</f>
        <v/>
      </c>
      <c r="AB33">
        <f>HYPERLINK("https://klasma.github.io/Logging_1907/klagomålsmail/A 63145-2025 FSC-klagomål mail.docx", "A 63145-2025")</f>
        <v/>
      </c>
      <c r="AC33">
        <f>HYPERLINK("https://klasma.github.io/Logging_1907/tillsyn/A 63145-2025 tillsynsbegäran.docx", "A 63145-2025")</f>
        <v/>
      </c>
      <c r="AD33">
        <f>HYPERLINK("https://klasma.github.io/Logging_1907/tillsynsmail/A 63145-2025 tillsynsbegäran mail.docx", "A 63145-2025")</f>
        <v/>
      </c>
      <c r="AE33">
        <f>HYPERLINK("https://klasma.github.io/Logging_1907/fåglar/A 63145-2025 prioriterade fågelarter.docx", "A 63145-2025")</f>
        <v/>
      </c>
    </row>
    <row r="34" ht="15" customHeight="1">
      <c r="A34" t="inlineStr">
        <is>
          <t>A 42860-2022</t>
        </is>
      </c>
      <c r="B34" t="inlineStr">
        <is>
          <t>avverkningsanmälan</t>
        </is>
      </c>
      <c r="C34" t="inlineStr">
        <is>
          <t>Avverkning för annat ändamål</t>
        </is>
      </c>
      <c r="D34" s="1" t="n">
        <v>44832</v>
      </c>
      <c r="E34" s="1" t="n">
        <v>46260</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46260</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46260</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46260</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46260</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46260</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46260</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46260</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49718-2023</t>
        </is>
      </c>
      <c r="B42" t="inlineStr">
        <is>
          <t>avverkningsanmälan</t>
        </is>
      </c>
      <c r="C42" t="inlineStr">
        <is>
          <t>Föryngringsavverkning</t>
        </is>
      </c>
      <c r="D42" s="1" t="n">
        <v>45212</v>
      </c>
      <c r="E42" s="1" t="n">
        <v>46260</v>
      </c>
      <c r="F42" t="inlineStr">
        <is>
          <t>VÄSTMANLANDS LÄN</t>
        </is>
      </c>
      <c r="G42" t="inlineStr">
        <is>
          <t>SURAHAMMAR</t>
        </is>
      </c>
      <c r="I42" t="n">
        <v>3.4</v>
      </c>
      <c r="J42" t="n">
        <v>1</v>
      </c>
      <c r="K42" t="n">
        <v>1</v>
      </c>
      <c r="L42" t="n">
        <v>2</v>
      </c>
      <c r="M42" t="n">
        <v>0</v>
      </c>
      <c r="N42" t="n">
        <v>0</v>
      </c>
      <c r="O42" t="n">
        <v>0</v>
      </c>
      <c r="P42" t="n">
        <v>0</v>
      </c>
      <c r="Q42" t="n">
        <v>2</v>
      </c>
      <c r="R42" t="n">
        <v>0</v>
      </c>
      <c r="S42" t="n">
        <v>3</v>
      </c>
      <c r="T42" t="n">
        <v>6</v>
      </c>
      <c r="U42" t="n">
        <v>6</v>
      </c>
      <c r="V42" s="2" t="inlineStr">
        <is>
          <t>Motaggsvamp
Talltita
Zontaggsvamp</t>
        </is>
      </c>
      <c r="W42">
        <f>HYPERLINK("https://klasma.github.io/Logging_1907/artfynd/A 49718-2023 artfynd.xlsx", "A 49718-2023")</f>
        <v/>
      </c>
      <c r="X42">
        <f>HYPERLINK("https://klasma.github.io/Logging_1907/kartor/A 49718-2023 karta.png", "A 49718-2023")</f>
        <v/>
      </c>
      <c r="Y42">
        <f>HYPERLINK("https://klasma.github.io/Logging_1907/kartor_geotiff/A 49718-2023 georefererad karta.tif", "A 49718-2023")</f>
        <v/>
      </c>
      <c r="AA42">
        <f>HYPERLINK("https://klasma.github.io/Logging_1907/klagomål/A 49718-2023 FSC-klagomål.docx", "A 49718-2023")</f>
        <v/>
      </c>
      <c r="AB42">
        <f>HYPERLINK("https://klasma.github.io/Logging_1907/klagomålsmail/A 49718-2023 FSC-klagomål mail.docx", "A 49718-2023")</f>
        <v/>
      </c>
      <c r="AC42">
        <f>HYPERLINK("https://klasma.github.io/Logging_1907/tillsyn/A 49718-2023 tillsynsbegäran.docx", "A 49718-2023")</f>
        <v/>
      </c>
      <c r="AD42">
        <f>HYPERLINK("https://klasma.github.io/Logging_1907/tillsynsmail/A 49718-2023 tillsynsbegäran mail.docx", "A 49718-2023")</f>
        <v/>
      </c>
      <c r="AE42">
        <f>HYPERLINK("https://klasma.github.io/Logging_1907/fåglar/A 49718-2023 prioriterade fågelarter.docx", "A 49718-2023")</f>
        <v/>
      </c>
    </row>
    <row r="43" ht="15" customHeight="1">
      <c r="A43" t="inlineStr">
        <is>
          <t>A 42765-2022</t>
        </is>
      </c>
      <c r="B43" t="inlineStr">
        <is>
          <t>avverkningsanmälan</t>
        </is>
      </c>
      <c r="C43" t="inlineStr">
        <is>
          <t>Avverkning för annat ändamål</t>
        </is>
      </c>
      <c r="D43" s="1" t="n">
        <v>44832</v>
      </c>
      <c r="E43" s="1" t="n">
        <v>46260</v>
      </c>
      <c r="F43" t="inlineStr">
        <is>
          <t>VÄSTMANLANDS LÄN</t>
        </is>
      </c>
      <c r="G43" t="inlineStr">
        <is>
          <t>SURAHAMMAR</t>
        </is>
      </c>
      <c r="I43" t="n">
        <v>1.8</v>
      </c>
      <c r="J43" t="n">
        <v>1</v>
      </c>
      <c r="K43" t="n">
        <v>1</v>
      </c>
      <c r="L43" t="n">
        <v>1</v>
      </c>
      <c r="M43" t="n">
        <v>0</v>
      </c>
      <c r="N43" t="n">
        <v>0</v>
      </c>
      <c r="O43" t="n">
        <v>0</v>
      </c>
      <c r="P43" t="n">
        <v>0</v>
      </c>
      <c r="Q43" t="n">
        <v>1</v>
      </c>
      <c r="R43" t="n">
        <v>0</v>
      </c>
      <c r="S43" t="n">
        <v>3</v>
      </c>
      <c r="T43" t="n">
        <v>4</v>
      </c>
      <c r="U43" t="n">
        <v>1</v>
      </c>
      <c r="V43" s="2" t="inlineStr">
        <is>
          <t>Krusfrö
Barkticka
Blåsippa</t>
        </is>
      </c>
      <c r="W43">
        <f>HYPERLINK("https://klasma.github.io/Logging_1907/artfynd/A 42765-2022 artfynd.xlsx", "A 42765-2022")</f>
        <v/>
      </c>
      <c r="X43">
        <f>HYPERLINK("https://klasma.github.io/Logging_1907/kartor/A 42765-2022 karta.png", "A 42765-2022")</f>
        <v/>
      </c>
      <c r="Y43">
        <f>HYPERLINK("https://klasma.github.io/Logging_1907/kartor_geotiff/A 42765-2022 georefererad karta.tif", "A 42765-2022")</f>
        <v/>
      </c>
      <c r="AA43">
        <f>HYPERLINK("https://klasma.github.io/Logging_1907/klagomål/A 42765-2022 FSC-klagomål.docx", "A 42765-2022")</f>
        <v/>
      </c>
      <c r="AB43">
        <f>HYPERLINK("https://klasma.github.io/Logging_1907/klagomålsmail/A 42765-2022 FSC-klagomål mail.docx", "A 42765-2022")</f>
        <v/>
      </c>
      <c r="AC43">
        <f>HYPERLINK("https://klasma.github.io/Logging_1907/tillsyn/A 42765-2022 tillsynsbegäran.docx", "A 42765-2022")</f>
        <v/>
      </c>
      <c r="AD43">
        <f>HYPERLINK("https://klasma.github.io/Logging_1907/tillsynsmail/A 42765-2022 tillsynsbegäran mail.docx", "A 42765-2022")</f>
        <v/>
      </c>
    </row>
    <row r="44" ht="15" customHeight="1">
      <c r="A44" t="inlineStr">
        <is>
          <t>A 69777-2021</t>
        </is>
      </c>
      <c r="B44" t="inlineStr">
        <is>
          <t>avverkningsanmälan</t>
        </is>
      </c>
      <c r="C44" t="inlineStr">
        <is>
          <t>Föryngringsavverkning</t>
        </is>
      </c>
      <c r="D44" s="1" t="n">
        <v>44532</v>
      </c>
      <c r="E44" s="1" t="n">
        <v>46260</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63146-2025</t>
        </is>
      </c>
      <c r="B45" t="inlineStr">
        <is>
          <t>avverkningsanmälan</t>
        </is>
      </c>
      <c r="C45" t="inlineStr">
        <is>
          <t>Föryngringsavverkning</t>
        </is>
      </c>
      <c r="D45" s="1" t="n">
        <v>46009</v>
      </c>
      <c r="E45" s="1" t="n">
        <v>46260</v>
      </c>
      <c r="F45" t="inlineStr">
        <is>
          <t>VÄSTMANLANDS LÄN</t>
        </is>
      </c>
      <c r="G45" t="inlineStr">
        <is>
          <t>SURAHAMMAR</t>
        </is>
      </c>
      <c r="H45" t="inlineStr">
        <is>
          <t>Bergvik skog väst AB</t>
        </is>
      </c>
      <c r="I45" t="n">
        <v>10.2</v>
      </c>
      <c r="J45" t="n">
        <v>1</v>
      </c>
      <c r="K45" t="n">
        <v>2</v>
      </c>
      <c r="L45" t="n">
        <v>0</v>
      </c>
      <c r="M45" t="n">
        <v>0</v>
      </c>
      <c r="N45" t="n">
        <v>0</v>
      </c>
      <c r="O45" t="n">
        <v>0</v>
      </c>
      <c r="P45" t="n">
        <v>0</v>
      </c>
      <c r="Q45" t="n">
        <v>0</v>
      </c>
      <c r="R45" t="n">
        <v>0</v>
      </c>
      <c r="S45" t="n">
        <v>3</v>
      </c>
      <c r="T45" t="n">
        <v>12</v>
      </c>
      <c r="U45" t="n">
        <v>0</v>
      </c>
      <c r="V45" s="2" t="inlineStr">
        <is>
          <t>Stor aspticka
Svart trolldruva
Blåsippa</t>
        </is>
      </c>
      <c r="W45">
        <f>HYPERLINK("https://klasma.github.io/Logging_1907/artfynd/A 63146-2025 artfynd.xlsx", "A 63146-2025")</f>
        <v/>
      </c>
      <c r="X45">
        <f>HYPERLINK("https://klasma.github.io/Logging_1907/kartor/A 63146-2025 karta.png", "A 63146-2025")</f>
        <v/>
      </c>
      <c r="Y45">
        <f>HYPERLINK("https://klasma.github.io/Logging_1907/kartor_geotiff/A 63146-2025 georefererad karta.tif", "A 63146-2025")</f>
        <v/>
      </c>
      <c r="AA45">
        <f>HYPERLINK("https://klasma.github.io/Logging_1907/klagomål/A 63146-2025 FSC-klagomål.docx", "A 63146-2025")</f>
        <v/>
      </c>
      <c r="AB45">
        <f>HYPERLINK("https://klasma.github.io/Logging_1907/klagomålsmail/A 63146-2025 FSC-klagomål mail.docx", "A 63146-2025")</f>
        <v/>
      </c>
      <c r="AC45">
        <f>HYPERLINK("https://klasma.github.io/Logging_1907/tillsyn/A 63146-2025 tillsynsbegäran.docx", "A 63146-2025")</f>
        <v/>
      </c>
      <c r="AD45">
        <f>HYPERLINK("https://klasma.github.io/Logging_1907/tillsynsmail/A 63146-2025 tillsynsbegäran mail.docx", "A 63146-2025")</f>
        <v/>
      </c>
    </row>
    <row r="46" ht="15" customHeight="1">
      <c r="A46" t="inlineStr">
        <is>
          <t>A 4082-2025</t>
        </is>
      </c>
      <c r="B46" t="inlineStr">
        <is>
          <t>avverkningsanmälan</t>
        </is>
      </c>
      <c r="C46" t="inlineStr">
        <is>
          <t>Föryngringsavverkning</t>
        </is>
      </c>
      <c r="D46" s="1" t="n">
        <v>45684</v>
      </c>
      <c r="E46" s="1" t="n">
        <v>46260</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46260</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32443-2026</t>
        </is>
      </c>
      <c r="B48" t="inlineStr">
        <is>
          <t>avverkningsanmälan</t>
        </is>
      </c>
      <c r="C48" t="inlineStr">
        <is>
          <t>Föryngringsavverkning</t>
        </is>
      </c>
      <c r="D48" s="1" t="n">
        <v>46239</v>
      </c>
      <c r="E48" s="1" t="n">
        <v>46260</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A 33935-2026</t>
        </is>
      </c>
      <c r="B49" t="inlineStr">
        <is>
          <t>avverkningsanmälan</t>
        </is>
      </c>
      <c r="C49" t="inlineStr">
        <is>
          <t>Föryngringsavverkning</t>
        </is>
      </c>
      <c r="D49" s="1" t="n">
        <v>46248</v>
      </c>
      <c r="E49" s="1" t="n">
        <v>46260</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S 1450-2022</t>
        </is>
      </c>
      <c r="B50" t="inlineStr">
        <is>
          <t>samrådsanmälan</t>
        </is>
      </c>
      <c r="C50" t="inlineStr">
        <is>
          <t>Skogsgödsling</t>
        </is>
      </c>
      <c r="D50" s="1" t="n">
        <v>44635</v>
      </c>
      <c r="E50" s="1" t="n">
        <v>46260</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46260</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46260</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30074-2023</t>
        </is>
      </c>
      <c r="B53" t="inlineStr">
        <is>
          <t>avverkningsanmälan</t>
        </is>
      </c>
      <c r="C53" t="inlineStr">
        <is>
          <t>Föryngringsavverkning</t>
        </is>
      </c>
      <c r="D53" s="1" t="n">
        <v>45110</v>
      </c>
      <c r="E53" s="1" t="n">
        <v>46260</v>
      </c>
      <c r="F53" t="inlineStr">
        <is>
          <t>VÄSTMANLANDS LÄN</t>
        </is>
      </c>
      <c r="G53" t="inlineStr">
        <is>
          <t>SURAHAMMAR</t>
        </is>
      </c>
      <c r="H53" t="inlineStr">
        <is>
          <t>Sveaskog</t>
        </is>
      </c>
      <c r="I53" t="n">
        <v>1.1</v>
      </c>
      <c r="J53" t="n">
        <v>1</v>
      </c>
      <c r="K53" t="n">
        <v>1</v>
      </c>
      <c r="L53" t="n">
        <v>0</v>
      </c>
      <c r="M53" t="n">
        <v>0</v>
      </c>
      <c r="N53" t="n">
        <v>0</v>
      </c>
      <c r="O53" t="n">
        <v>0</v>
      </c>
      <c r="P53" t="n">
        <v>0</v>
      </c>
      <c r="Q53" t="n">
        <v>0</v>
      </c>
      <c r="R53" t="n">
        <v>0</v>
      </c>
      <c r="S53" t="n">
        <v>2</v>
      </c>
      <c r="T53" t="n">
        <v>2</v>
      </c>
      <c r="U53" t="n">
        <v>0</v>
      </c>
      <c r="V53" s="2" t="inlineStr">
        <is>
          <t>Grönpyrola
Revlummer</t>
        </is>
      </c>
      <c r="W53">
        <f>HYPERLINK("https://klasma.github.io/Logging_1907/artfynd/A 30074-2023 artfynd.xlsx", "A 30074-2023")</f>
        <v/>
      </c>
      <c r="X53">
        <f>HYPERLINK("https://klasma.github.io/Logging_1907/kartor/A 30074-2023 karta.png", "A 30074-2023")</f>
        <v/>
      </c>
      <c r="Y53">
        <f>HYPERLINK("https://klasma.github.io/Logging_1907/kartor_geotiff/A 30074-2023 georefererad karta.tif", "A 30074-2023")</f>
        <v/>
      </c>
      <c r="AA53">
        <f>HYPERLINK("https://klasma.github.io/Logging_1907/klagomål/A 30074-2023 FSC-klagomål.docx", "A 30074-2023")</f>
        <v/>
      </c>
      <c r="AB53">
        <f>HYPERLINK("https://klasma.github.io/Logging_1907/klagomålsmail/A 30074-2023 FSC-klagomål mail.docx", "A 30074-2023")</f>
        <v/>
      </c>
      <c r="AC53">
        <f>HYPERLINK("https://klasma.github.io/Logging_1907/tillsyn/A 30074-2023 tillsynsbegäran.docx", "A 30074-2023")</f>
        <v/>
      </c>
      <c r="AD53">
        <f>HYPERLINK("https://klasma.github.io/Logging_1907/tillsynsmail/A 30074-2023 tillsynsbegäran mail.docx", "A 30074-2023")</f>
        <v/>
      </c>
    </row>
    <row r="54" ht="15" customHeight="1">
      <c r="A54" t="inlineStr">
        <is>
          <t>A 56362-2023</t>
        </is>
      </c>
      <c r="B54" t="inlineStr">
        <is>
          <t>avverkningsanmälan</t>
        </is>
      </c>
      <c r="C54" t="inlineStr">
        <is>
          <t>Föryngringsavverkning</t>
        </is>
      </c>
      <c r="D54" s="1" t="n">
        <v>45236</v>
      </c>
      <c r="E54" s="1" t="n">
        <v>46260</v>
      </c>
      <c r="F54" t="inlineStr">
        <is>
          <t>VÄSTMANLANDS LÄN</t>
        </is>
      </c>
      <c r="G54" t="inlineStr">
        <is>
          <t>SURAHAMMAR</t>
        </is>
      </c>
      <c r="H54" t="inlineStr">
        <is>
          <t>Bergvik skog väst AB</t>
        </is>
      </c>
      <c r="I54" t="n">
        <v>15.2</v>
      </c>
      <c r="J54" t="n">
        <v>1</v>
      </c>
      <c r="K54" t="n">
        <v>1</v>
      </c>
      <c r="L54" t="n">
        <v>0</v>
      </c>
      <c r="M54" t="n">
        <v>1</v>
      </c>
      <c r="N54" t="n">
        <v>0</v>
      </c>
      <c r="O54" t="n">
        <v>0</v>
      </c>
      <c r="P54" t="n">
        <v>0</v>
      </c>
      <c r="Q54" t="n">
        <v>1</v>
      </c>
      <c r="R54" t="n">
        <v>1</v>
      </c>
      <c r="S54" t="n">
        <v>2</v>
      </c>
      <c r="T54" t="n">
        <v>2</v>
      </c>
      <c r="U54" t="n">
        <v>1</v>
      </c>
      <c r="V54" s="2" t="inlineStr">
        <is>
          <t>Väddnätfjäril
Grönpyrola</t>
        </is>
      </c>
      <c r="W54">
        <f>HYPERLINK("https://klasma.github.io/Logging_1907/artfynd/A 56362-2023 artfynd.xlsx", "A 56362-2023")</f>
        <v/>
      </c>
      <c r="X54">
        <f>HYPERLINK("https://klasma.github.io/Logging_1907/kartor/A 56362-2023 karta.png", "A 56362-2023")</f>
        <v/>
      </c>
      <c r="Y54">
        <f>HYPERLINK("https://klasma.github.io/Logging_1907/kartor_geotiff/A 56362-2023 georefererad karta.tif", "A 56362-2023")</f>
        <v/>
      </c>
      <c r="AA54">
        <f>HYPERLINK("https://klasma.github.io/Logging_1907/klagomål/A 56362-2023 FSC-klagomål.docx", "A 56362-2023")</f>
        <v/>
      </c>
      <c r="AB54">
        <f>HYPERLINK("https://klasma.github.io/Logging_1907/klagomålsmail/A 56362-2023 FSC-klagomål mail.docx", "A 56362-2023")</f>
        <v/>
      </c>
      <c r="AC54">
        <f>HYPERLINK("https://klasma.github.io/Logging_1907/tillsyn/A 56362-2023 tillsynsbegäran.docx", "A 56362-2023")</f>
        <v/>
      </c>
      <c r="AD54">
        <f>HYPERLINK("https://klasma.github.io/Logging_1907/tillsynsmail/A 56362-2023 tillsynsbegäran mail.docx", "A 56362-2023")</f>
        <v/>
      </c>
    </row>
    <row r="55" ht="15" customHeight="1">
      <c r="A55" t="inlineStr">
        <is>
          <t>A 47453-2024</t>
        </is>
      </c>
      <c r="B55" t="inlineStr">
        <is>
          <t>avverkningsanmälan</t>
        </is>
      </c>
      <c r="C55" t="inlineStr">
        <is>
          <t>Föryngringsavverkning</t>
        </is>
      </c>
      <c r="D55" s="1" t="n">
        <v>45587</v>
      </c>
      <c r="E55" s="1" t="n">
        <v>46260</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40403-2025</t>
        </is>
      </c>
      <c r="B56" t="inlineStr">
        <is>
          <t>avverkningsanmälan</t>
        </is>
      </c>
      <c r="C56" t="inlineStr">
        <is>
          <t>Föryngringsavverkning</t>
        </is>
      </c>
      <c r="D56" s="1" t="n">
        <v>45895</v>
      </c>
      <c r="E56" s="1" t="n">
        <v>46260</v>
      </c>
      <c r="F56" t="inlineStr">
        <is>
          <t>VÄSTMANLANDS LÄN</t>
        </is>
      </c>
      <c r="G56" t="inlineStr">
        <is>
          <t>SURAHAMMAR</t>
        </is>
      </c>
      <c r="H56" t="inlineStr">
        <is>
          <t>Kommuner</t>
        </is>
      </c>
      <c r="I56" t="n">
        <v>3.9</v>
      </c>
      <c r="J56" t="n">
        <v>1</v>
      </c>
      <c r="K56" t="n">
        <v>0</v>
      </c>
      <c r="L56" t="n">
        <v>0</v>
      </c>
      <c r="M56" t="n">
        <v>1</v>
      </c>
      <c r="N56" t="n">
        <v>0</v>
      </c>
      <c r="O56" t="n">
        <v>0</v>
      </c>
      <c r="P56" t="n">
        <v>0</v>
      </c>
      <c r="Q56" t="n">
        <v>1</v>
      </c>
      <c r="R56" t="n">
        <v>1</v>
      </c>
      <c r="S56" t="n">
        <v>2</v>
      </c>
      <c r="T56" t="n">
        <v>3</v>
      </c>
      <c r="U56" t="n">
        <v>1</v>
      </c>
      <c r="V56" s="2" t="inlineStr">
        <is>
          <t>Igelkott
Gröngöling</t>
        </is>
      </c>
      <c r="W56">
        <f>HYPERLINK("https://klasma.github.io/Logging_1907/artfynd/A 40403-2025 artfynd.xlsx", "A 40403-2025")</f>
        <v/>
      </c>
      <c r="X56">
        <f>HYPERLINK("https://klasma.github.io/Logging_1907/kartor/A 40403-2025 karta.png", "A 40403-2025")</f>
        <v/>
      </c>
      <c r="Y56">
        <f>HYPERLINK("https://klasma.github.io/Logging_1907/kartor_geotiff/A 40403-2025 georefererad karta.tif", "A 40403-2025")</f>
        <v/>
      </c>
      <c r="AA56">
        <f>HYPERLINK("https://klasma.github.io/Logging_1907/klagomål/A 40403-2025 FSC-klagomål.docx", "A 40403-2025")</f>
        <v/>
      </c>
      <c r="AB56">
        <f>HYPERLINK("https://klasma.github.io/Logging_1907/klagomålsmail/A 40403-2025 FSC-klagomål mail.docx", "A 40403-2025")</f>
        <v/>
      </c>
      <c r="AC56">
        <f>HYPERLINK("https://klasma.github.io/Logging_1907/tillsyn/A 40403-2025 tillsynsbegäran.docx", "A 40403-2025")</f>
        <v/>
      </c>
      <c r="AD56">
        <f>HYPERLINK("https://klasma.github.io/Logging_1907/tillsynsmail/A 40403-2025 tillsynsbegäran mail.docx", "A 40403-2025")</f>
        <v/>
      </c>
    </row>
    <row r="57" ht="15" customHeight="1">
      <c r="A57" t="inlineStr">
        <is>
          <t>A 63138-2025</t>
        </is>
      </c>
      <c r="B57" t="inlineStr">
        <is>
          <t>avverkningsanmälan</t>
        </is>
      </c>
      <c r="C57" t="inlineStr">
        <is>
          <t>Föryngringsavverkning</t>
        </is>
      </c>
      <c r="D57" s="1" t="n">
        <v>46009</v>
      </c>
      <c r="E57" s="1" t="n">
        <v>46260</v>
      </c>
      <c r="F57" t="inlineStr">
        <is>
          <t>VÄSTMANLANDS LÄN</t>
        </is>
      </c>
      <c r="G57" t="inlineStr">
        <is>
          <t>SURAHAMMAR</t>
        </is>
      </c>
      <c r="H57" t="inlineStr">
        <is>
          <t>Bergvik skog väst AB</t>
        </is>
      </c>
      <c r="I57" t="n">
        <v>2.5</v>
      </c>
      <c r="J57" t="n">
        <v>1</v>
      </c>
      <c r="K57" t="n">
        <v>1</v>
      </c>
      <c r="L57" t="n">
        <v>0</v>
      </c>
      <c r="M57" t="n">
        <v>0</v>
      </c>
      <c r="N57" t="n">
        <v>0</v>
      </c>
      <c r="O57" t="n">
        <v>0</v>
      </c>
      <c r="P57" t="n">
        <v>0</v>
      </c>
      <c r="Q57" t="n">
        <v>0</v>
      </c>
      <c r="R57" t="n">
        <v>0</v>
      </c>
      <c r="S57" t="n">
        <v>2</v>
      </c>
      <c r="T57" t="n">
        <v>3</v>
      </c>
      <c r="U57" t="n">
        <v>2</v>
      </c>
      <c r="V57" s="2" t="inlineStr">
        <is>
          <t>Mindre märgborre
Tjäder</t>
        </is>
      </c>
      <c r="W57">
        <f>HYPERLINK("https://klasma.github.io/Logging_1907/artfynd/A 63138-2025 artfynd.xlsx", "A 63138-2025")</f>
        <v/>
      </c>
      <c r="X57">
        <f>HYPERLINK("https://klasma.github.io/Logging_1907/kartor/A 63138-2025 karta.png", "A 63138-2025")</f>
        <v/>
      </c>
      <c r="Y57">
        <f>HYPERLINK("https://klasma.github.io/Logging_1907/kartor_geotiff/A 63138-2025 georefererad karta.tif", "A 63138-2025")</f>
        <v/>
      </c>
      <c r="AA57">
        <f>HYPERLINK("https://klasma.github.io/Logging_1907/klagomål/A 63138-2025 FSC-klagomål.docx", "A 63138-2025")</f>
        <v/>
      </c>
      <c r="AB57">
        <f>HYPERLINK("https://klasma.github.io/Logging_1907/klagomålsmail/A 63138-2025 FSC-klagomål mail.docx", "A 63138-2025")</f>
        <v/>
      </c>
      <c r="AC57">
        <f>HYPERLINK("https://klasma.github.io/Logging_1907/tillsyn/A 63138-2025 tillsynsbegäran.docx", "A 63138-2025")</f>
        <v/>
      </c>
      <c r="AD57">
        <f>HYPERLINK("https://klasma.github.io/Logging_1907/tillsynsmail/A 63138-2025 tillsynsbegäran mail.docx", "A 63138-2025")</f>
        <v/>
      </c>
      <c r="AE57">
        <f>HYPERLINK("https://klasma.github.io/Logging_1907/fåglar/A 63138-2025 prioriterade fågelarter.docx", "A 63138-2025")</f>
        <v/>
      </c>
    </row>
    <row r="58" ht="15" customHeight="1">
      <c r="A58" t="inlineStr">
        <is>
          <t>A 37013-2025</t>
        </is>
      </c>
      <c r="B58" t="inlineStr">
        <is>
          <t>avverkningsanmälan</t>
        </is>
      </c>
      <c r="C58" t="inlineStr">
        <is>
          <t>Föryngringsavverkning</t>
        </is>
      </c>
      <c r="D58" s="1" t="n">
        <v>45874</v>
      </c>
      <c r="E58" s="1" t="n">
        <v>46260</v>
      </c>
      <c r="F58" t="inlineStr">
        <is>
          <t>VÄSTMANLANDS LÄN</t>
        </is>
      </c>
      <c r="G58" t="inlineStr">
        <is>
          <t>SURAHAMMAR</t>
        </is>
      </c>
      <c r="H58" t="inlineStr">
        <is>
          <t>Bergvik skog väst AB</t>
        </is>
      </c>
      <c r="I58" t="n">
        <v>10.7</v>
      </c>
      <c r="J58" t="n">
        <v>0</v>
      </c>
      <c r="K58" t="n">
        <v>0</v>
      </c>
      <c r="L58" t="n">
        <v>0</v>
      </c>
      <c r="M58" t="n">
        <v>2</v>
      </c>
      <c r="N58" t="n">
        <v>0</v>
      </c>
      <c r="O58" t="n">
        <v>0</v>
      </c>
      <c r="P58" t="n">
        <v>0</v>
      </c>
      <c r="Q58" t="n">
        <v>2</v>
      </c>
      <c r="R58" t="n">
        <v>2</v>
      </c>
      <c r="S58" t="n">
        <v>2</v>
      </c>
      <c r="T58" t="n">
        <v>2</v>
      </c>
      <c r="U58" t="n">
        <v>0</v>
      </c>
      <c r="V58" s="2" t="inlineStr">
        <is>
          <t>Brunfläckig pärlemorfjäril
Fältgentiana</t>
        </is>
      </c>
      <c r="W58">
        <f>HYPERLINK("https://klasma.github.io/Logging_1907/artfynd/A 37013-2025 artfynd.xlsx", "A 37013-2025")</f>
        <v/>
      </c>
      <c r="X58">
        <f>HYPERLINK("https://klasma.github.io/Logging_1907/kartor/A 37013-2025 karta.png", "A 37013-2025")</f>
        <v/>
      </c>
      <c r="Y58">
        <f>HYPERLINK("https://klasma.github.io/Logging_1907/kartor_geotiff/A 37013-2025 georefererad karta.tif", "A 37013-2025")</f>
        <v/>
      </c>
      <c r="AA58">
        <f>HYPERLINK("https://klasma.github.io/Logging_1907/klagomål/A 37013-2025 FSC-klagomål.docx", "A 37013-2025")</f>
        <v/>
      </c>
      <c r="AB58">
        <f>HYPERLINK("https://klasma.github.io/Logging_1907/klagomålsmail/A 37013-2025 FSC-klagomål mail.docx", "A 37013-2025")</f>
        <v/>
      </c>
      <c r="AC58">
        <f>HYPERLINK("https://klasma.github.io/Logging_1907/tillsyn/A 37013-2025 tillsynsbegäran.docx", "A 37013-2025")</f>
        <v/>
      </c>
      <c r="AD58">
        <f>HYPERLINK("https://klasma.github.io/Logging_1907/tillsynsmail/A 37013-2025 tillsynsbegäran mail.docx", "A 37013-2025")</f>
        <v/>
      </c>
    </row>
    <row r="59" ht="15" customHeight="1">
      <c r="A59" t="inlineStr">
        <is>
          <t>A 41204-2023</t>
        </is>
      </c>
      <c r="B59" t="inlineStr">
        <is>
          <t>avverkningsanmälan</t>
        </is>
      </c>
      <c r="C59" t="inlineStr">
        <is>
          <t>Föryngringsavverkning</t>
        </is>
      </c>
      <c r="D59" s="1" t="n">
        <v>45174</v>
      </c>
      <c r="E59" s="1" t="n">
        <v>46260</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t="n">
        <v>0</v>
      </c>
      <c r="V59" s="2" t="inlineStr">
        <is>
          <t>Knärot
Vedtrappmossa</t>
        </is>
      </c>
      <c r="W59">
        <f>HYPERLINK("https://klasma.github.io/Logging_1907/artfynd/A 41204-2023 artfynd.xlsx", "A 41204-2023")</f>
        <v/>
      </c>
      <c r="X59">
        <f>HYPERLINK("https://klasma.github.io/Logging_1907/kartor/A 41204-2023 karta.png", "A 41204-2023")</f>
        <v/>
      </c>
      <c r="Y59">
        <f>HYPERLINK("https://klasma.github.io/Logging_1907/kartor_geotiff/A 41204-2023 georefererad karta.tif", "A 41204-2023")</f>
        <v/>
      </c>
      <c r="Z59">
        <f>HYPERLINK("https://klasma.github.io/Logging_1907/knärot/A 41204-2023 karta knärot.png", "A 41204-2023")</f>
        <v/>
      </c>
      <c r="AA59">
        <f>HYPERLINK("https://klasma.github.io/Logging_1907/klagomål/A 41204-2023 FSC-klagomål.docx", "A 41204-2023")</f>
        <v/>
      </c>
      <c r="AB59">
        <f>HYPERLINK("https://klasma.github.io/Logging_1907/klagomålsmail/A 41204-2023 FSC-klagomål mail.docx", "A 41204-2023")</f>
        <v/>
      </c>
      <c r="AC59">
        <f>HYPERLINK("https://klasma.github.io/Logging_1907/tillsyn/A 41204-2023 tillsynsbegäran.docx", "A 41204-2023")</f>
        <v/>
      </c>
      <c r="AD59">
        <f>HYPERLINK("https://klasma.github.io/Logging_1907/tillsynsmail/A 41204-2023 tillsynsbegäran mail.docx", "A 41204-2023")</f>
        <v/>
      </c>
    </row>
    <row r="60" ht="15" customHeight="1">
      <c r="A60" t="inlineStr">
        <is>
          <t>A 11501-2023</t>
        </is>
      </c>
      <c r="B60" t="inlineStr">
        <is>
          <t>avverkningsanmälan</t>
        </is>
      </c>
      <c r="C60" t="inlineStr">
        <is>
          <t>Föryngringsavverkning</t>
        </is>
      </c>
      <c r="D60" s="1" t="n">
        <v>44991</v>
      </c>
      <c r="E60" s="1" t="n">
        <v>46260</v>
      </c>
      <c r="F60" t="inlineStr">
        <is>
          <t>VÄSTMANLANDS LÄN</t>
        </is>
      </c>
      <c r="G60" t="inlineStr">
        <is>
          <t>SURAHAMMAR</t>
        </is>
      </c>
      <c r="H60" t="inlineStr">
        <is>
          <t>Bergvik skog väst AB</t>
        </is>
      </c>
      <c r="I60" t="n">
        <v>1.1</v>
      </c>
      <c r="J60" t="n">
        <v>1</v>
      </c>
      <c r="K60" t="n">
        <v>1</v>
      </c>
      <c r="L60" t="n">
        <v>0</v>
      </c>
      <c r="M60" t="n">
        <v>0</v>
      </c>
      <c r="N60" t="n">
        <v>0</v>
      </c>
      <c r="O60" t="n">
        <v>0</v>
      </c>
      <c r="P60" t="n">
        <v>0</v>
      </c>
      <c r="Q60" t="n">
        <v>0</v>
      </c>
      <c r="R60" t="n">
        <v>0</v>
      </c>
      <c r="S60" t="n">
        <v>2</v>
      </c>
      <c r="T60" t="n">
        <v>2</v>
      </c>
      <c r="U60" t="n">
        <v>2</v>
      </c>
      <c r="V60" s="2" t="inlineStr">
        <is>
          <t>Svart trolldruva
Nattviol</t>
        </is>
      </c>
      <c r="W60">
        <f>HYPERLINK("https://klasma.github.io/Logging_1907/artfynd/A 11501-2023 artfynd.xlsx", "A 11501-2023")</f>
        <v/>
      </c>
      <c r="X60">
        <f>HYPERLINK("https://klasma.github.io/Logging_1907/kartor/A 11501-2023 karta.png", "A 11501-2023")</f>
        <v/>
      </c>
      <c r="Y60">
        <f>HYPERLINK("https://klasma.github.io/Logging_1907/kartor_geotiff/A 11501-2023 georefererad karta.tif", "A 11501-2023")</f>
        <v/>
      </c>
      <c r="AA60">
        <f>HYPERLINK("https://klasma.github.io/Logging_1907/klagomål/A 11501-2023 FSC-klagomål.docx", "A 11501-2023")</f>
        <v/>
      </c>
      <c r="AB60">
        <f>HYPERLINK("https://klasma.github.io/Logging_1907/klagomålsmail/A 11501-2023 FSC-klagomål mail.docx", "A 11501-2023")</f>
        <v/>
      </c>
      <c r="AC60">
        <f>HYPERLINK("https://klasma.github.io/Logging_1907/tillsyn/A 11501-2023 tillsynsbegäran.docx", "A 11501-2023")</f>
        <v/>
      </c>
      <c r="AD60">
        <f>HYPERLINK("https://klasma.github.io/Logging_1907/tillsynsmail/A 11501-2023 tillsynsbegäran mail.docx", "A 11501-2023")</f>
        <v/>
      </c>
    </row>
    <row r="61" ht="15" customHeight="1">
      <c r="A61" t="inlineStr">
        <is>
          <t>A 14001-2023</t>
        </is>
      </c>
      <c r="B61" t="inlineStr">
        <is>
          <t>avverkningsanmälan</t>
        </is>
      </c>
      <c r="C61" t="inlineStr">
        <is>
          <t>Föryngringsavverkning</t>
        </is>
      </c>
      <c r="D61" s="1" t="n">
        <v>45007</v>
      </c>
      <c r="E61" s="1" t="n">
        <v>46260</v>
      </c>
      <c r="F61" t="inlineStr">
        <is>
          <t>VÄSTMANLANDS LÄN</t>
        </is>
      </c>
      <c r="G61" t="inlineStr">
        <is>
          <t>SURAHAMMAR</t>
        </is>
      </c>
      <c r="H61" t="inlineStr">
        <is>
          <t>Bergvik skog väst AB</t>
        </is>
      </c>
      <c r="I61" t="n">
        <v>1</v>
      </c>
      <c r="J61" t="n">
        <v>0</v>
      </c>
      <c r="K61" t="n">
        <v>0</v>
      </c>
      <c r="L61" t="n">
        <v>1</v>
      </c>
      <c r="M61" t="n">
        <v>1</v>
      </c>
      <c r="N61" t="n">
        <v>0</v>
      </c>
      <c r="O61" t="n">
        <v>0</v>
      </c>
      <c r="P61" t="n">
        <v>0</v>
      </c>
      <c r="Q61" t="n">
        <v>2</v>
      </c>
      <c r="R61" t="n">
        <v>1</v>
      </c>
      <c r="S61" t="n">
        <v>2</v>
      </c>
      <c r="T61" t="n">
        <v>2</v>
      </c>
      <c r="U61" t="n">
        <v>0</v>
      </c>
      <c r="V61" s="2" t="inlineStr">
        <is>
          <t>Garnlav
Motaggsvamp</t>
        </is>
      </c>
      <c r="W61">
        <f>HYPERLINK("https://klasma.github.io/Logging_1907/artfynd/A 14001-2023 artfynd.xlsx", "A 14001-2023")</f>
        <v/>
      </c>
      <c r="X61">
        <f>HYPERLINK("https://klasma.github.io/Logging_1907/kartor/A 14001-2023 karta.png", "A 14001-2023")</f>
        <v/>
      </c>
      <c r="Y61">
        <f>HYPERLINK("https://klasma.github.io/Logging_1907/kartor_geotiff/A 14001-2023 georefererad karta.tif", "A 14001-2023")</f>
        <v/>
      </c>
      <c r="AA61">
        <f>HYPERLINK("https://klasma.github.io/Logging_1907/klagomål/A 14001-2023 FSC-klagomål.docx", "A 14001-2023")</f>
        <v/>
      </c>
      <c r="AB61">
        <f>HYPERLINK("https://klasma.github.io/Logging_1907/klagomålsmail/A 14001-2023 FSC-klagomål mail.docx", "A 14001-2023")</f>
        <v/>
      </c>
      <c r="AC61">
        <f>HYPERLINK("https://klasma.github.io/Logging_1907/tillsyn/A 14001-2023 tillsynsbegäran.docx", "A 14001-2023")</f>
        <v/>
      </c>
      <c r="AD61">
        <f>HYPERLINK("https://klasma.github.io/Logging_1907/tillsynsmail/A 14001-2023 tillsynsbegäran mail.docx", "A 14001-2023")</f>
        <v/>
      </c>
    </row>
    <row r="62" ht="15" customHeight="1">
      <c r="A62" t="inlineStr">
        <is>
          <t>A 13971-2023</t>
        </is>
      </c>
      <c r="B62" t="inlineStr">
        <is>
          <t>avverkningsanmälan</t>
        </is>
      </c>
      <c r="C62" t="inlineStr">
        <is>
          <t>Föryngringsavverkning</t>
        </is>
      </c>
      <c r="D62" s="1" t="n">
        <v>45007</v>
      </c>
      <c r="E62" s="1" t="n">
        <v>46260</v>
      </c>
      <c r="F62" t="inlineStr">
        <is>
          <t>VÄSTMANLANDS LÄN</t>
        </is>
      </c>
      <c r="G62" t="inlineStr">
        <is>
          <t>SURAHAMMAR</t>
        </is>
      </c>
      <c r="H62" t="inlineStr">
        <is>
          <t>Bergvik skog väst AB</t>
        </is>
      </c>
      <c r="I62" t="n">
        <v>2.9</v>
      </c>
      <c r="J62" t="n">
        <v>2</v>
      </c>
      <c r="K62" t="n">
        <v>0</v>
      </c>
      <c r="L62" t="n">
        <v>0</v>
      </c>
      <c r="M62" t="n">
        <v>0</v>
      </c>
      <c r="N62" t="n">
        <v>0</v>
      </c>
      <c r="O62" t="n">
        <v>0</v>
      </c>
      <c r="P62" t="n">
        <v>0</v>
      </c>
      <c r="Q62" t="n">
        <v>0</v>
      </c>
      <c r="R62" t="n">
        <v>0</v>
      </c>
      <c r="S62" t="n">
        <v>2</v>
      </c>
      <c r="T62" t="n">
        <v>3</v>
      </c>
      <c r="U62" t="n">
        <v>0</v>
      </c>
      <c r="V62" s="2" t="inlineStr">
        <is>
          <t>Dubbelnycklar
Fläcknycklar</t>
        </is>
      </c>
      <c r="W62">
        <f>HYPERLINK("https://klasma.github.io/Logging_1907/artfynd/A 13971-2023 artfynd.xlsx", "A 13971-2023")</f>
        <v/>
      </c>
      <c r="X62">
        <f>HYPERLINK("https://klasma.github.io/Logging_1907/kartor/A 13971-2023 karta.png", "A 13971-2023")</f>
        <v/>
      </c>
      <c r="Y62">
        <f>HYPERLINK("https://klasma.github.io/Logging_1907/kartor_geotiff/A 13971-2023 georefererad karta.tif", "A 13971-2023")</f>
        <v/>
      </c>
      <c r="AA62">
        <f>HYPERLINK("https://klasma.github.io/Logging_1907/klagomål/A 13971-2023 FSC-klagomål.docx", "A 13971-2023")</f>
        <v/>
      </c>
      <c r="AB62">
        <f>HYPERLINK("https://klasma.github.io/Logging_1907/klagomålsmail/A 13971-2023 FSC-klagomål mail.docx", "A 13971-2023")</f>
        <v/>
      </c>
      <c r="AC62">
        <f>HYPERLINK("https://klasma.github.io/Logging_1907/tillsyn/A 13971-2023 tillsynsbegäran.docx", "A 13971-2023")</f>
        <v/>
      </c>
      <c r="AD62">
        <f>HYPERLINK("https://klasma.github.io/Logging_1907/tillsynsmail/A 13971-2023 tillsynsbegäran mail.docx", "A 13971-2023")</f>
        <v/>
      </c>
    </row>
    <row r="63" ht="15" customHeight="1">
      <c r="A63" t="inlineStr">
        <is>
          <t>A 13788-2025</t>
        </is>
      </c>
      <c r="B63" t="inlineStr">
        <is>
          <t>avverkningsanmälan</t>
        </is>
      </c>
      <c r="C63" t="inlineStr">
        <is>
          <t>Föryngringsavverkning</t>
        </is>
      </c>
      <c r="D63" s="1" t="n">
        <v>45737</v>
      </c>
      <c r="E63" s="1" t="n">
        <v>46260</v>
      </c>
      <c r="F63" t="inlineStr">
        <is>
          <t>VÄSTMANLANDS LÄN</t>
        </is>
      </c>
      <c r="G63" t="inlineStr">
        <is>
          <t>SURAHAMMAR</t>
        </is>
      </c>
      <c r="I63" t="n">
        <v>9.699999999999999</v>
      </c>
      <c r="J63" t="n">
        <v>2</v>
      </c>
      <c r="K63" t="n">
        <v>0</v>
      </c>
      <c r="L63" t="n">
        <v>1</v>
      </c>
      <c r="M63" t="n">
        <v>0</v>
      </c>
      <c r="N63" t="n">
        <v>0</v>
      </c>
      <c r="O63" t="n">
        <v>0</v>
      </c>
      <c r="P63" t="n">
        <v>0</v>
      </c>
      <c r="Q63" t="n">
        <v>1</v>
      </c>
      <c r="R63" t="n">
        <v>0</v>
      </c>
      <c r="S63" t="n">
        <v>2</v>
      </c>
      <c r="T63" t="n">
        <v>2</v>
      </c>
      <c r="U63" t="n">
        <v>2</v>
      </c>
      <c r="V63" s="2" t="inlineStr">
        <is>
          <t>Sparvuggla
Nattskärra</t>
        </is>
      </c>
      <c r="W63">
        <f>HYPERLINK("https://klasma.github.io/Logging_1907/artfynd/A 13788-2025 artfynd.xlsx", "A 13788-2025")</f>
        <v/>
      </c>
      <c r="X63">
        <f>HYPERLINK("https://klasma.github.io/Logging_1907/kartor/A 13788-2025 karta.png", "A 13788-2025")</f>
        <v/>
      </c>
      <c r="Y63">
        <f>HYPERLINK("https://klasma.github.io/Logging_1907/kartor_geotiff/A 13788-2025 georefererad karta.tif", "A 13788-2025")</f>
        <v/>
      </c>
      <c r="AA63">
        <f>HYPERLINK("https://klasma.github.io/Logging_1907/klagomål/A 13788-2025 FSC-klagomål.docx", "A 13788-2025")</f>
        <v/>
      </c>
      <c r="AB63">
        <f>HYPERLINK("https://klasma.github.io/Logging_1907/klagomålsmail/A 13788-2025 FSC-klagomål mail.docx", "A 13788-2025")</f>
        <v/>
      </c>
      <c r="AC63">
        <f>HYPERLINK("https://klasma.github.io/Logging_1907/tillsyn/A 13788-2025 tillsynsbegäran.docx", "A 13788-2025")</f>
        <v/>
      </c>
      <c r="AD63">
        <f>HYPERLINK("https://klasma.github.io/Logging_1907/tillsynsmail/A 13788-2025 tillsynsbegäran mail.docx", "A 13788-2025")</f>
        <v/>
      </c>
      <c r="AE63">
        <f>HYPERLINK("https://klasma.github.io/Logging_1907/fåglar/A 13788-2025 prioriterade fågelarter.docx", "A 13788-2025")</f>
        <v/>
      </c>
    </row>
    <row r="64" ht="15" customHeight="1">
      <c r="A64" t="inlineStr">
        <is>
          <t>S 703-2025</t>
        </is>
      </c>
      <c r="B64" t="inlineStr">
        <is>
          <t>samrådsanmälan</t>
        </is>
      </c>
      <c r="C64" t="inlineStr">
        <is>
          <t>Skogsgödsling</t>
        </is>
      </c>
      <c r="D64" s="1" t="n">
        <v>45720</v>
      </c>
      <c r="E64" s="1" t="n">
        <v>46260</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46260</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46260</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46260</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46260</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8553-2023</t>
        </is>
      </c>
      <c r="B69" t="inlineStr">
        <is>
          <t>avverkningsanmälan</t>
        </is>
      </c>
      <c r="C69" t="inlineStr">
        <is>
          <t>Avverkning för att bevara och utveckla /försöksver</t>
        </is>
      </c>
      <c r="D69" s="1" t="n">
        <v>44977</v>
      </c>
      <c r="E69" s="1" t="n">
        <v>46260</v>
      </c>
      <c r="F69" t="inlineStr">
        <is>
          <t>VÄSTMANLANDS LÄN</t>
        </is>
      </c>
      <c r="G69" t="inlineStr">
        <is>
          <t>SURAHAMMAR</t>
        </is>
      </c>
      <c r="H69" t="inlineStr">
        <is>
          <t>Sveaskog</t>
        </is>
      </c>
      <c r="I69" t="n">
        <v>1.5</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HYPERLINK("https://klasma.github.io/Logging_1907/artfynd/A 8553-2023 artfynd.xlsx", "A 8553-2023")</f>
        <v/>
      </c>
      <c r="X69">
        <f>HYPERLINK("https://klasma.github.io/Logging_1907/kartor/A 8553-2023 karta.png", "A 8553-2023")</f>
        <v/>
      </c>
      <c r="Y69">
        <f>HYPERLINK("https://klasma.github.io/Logging_1907/kartor_geotiff/A 8553-2023 georefererad karta.tif", "A 8553-2023")</f>
        <v/>
      </c>
      <c r="AA69">
        <f>HYPERLINK("https://klasma.github.io/Logging_1907/klagomål/A 8553-2023 FSC-klagomål.docx", "A 8553-2023")</f>
        <v/>
      </c>
      <c r="AB69">
        <f>HYPERLINK("https://klasma.github.io/Logging_1907/klagomålsmail/A 8553-2023 FSC-klagomål mail.docx", "A 8553-2023")</f>
        <v/>
      </c>
      <c r="AC69">
        <f>HYPERLINK("https://klasma.github.io/Logging_1907/tillsyn/A 8553-2023 tillsynsbegäran.docx", "A 8553-2023")</f>
        <v/>
      </c>
      <c r="AD69">
        <f>HYPERLINK("https://klasma.github.io/Logging_1907/tillsynsmail/A 8553-2023 tillsynsbegäran mail.docx", "A 8553-2023")</f>
        <v/>
      </c>
    </row>
    <row r="70" ht="15" customHeight="1">
      <c r="A70" t="inlineStr">
        <is>
          <t>A 30076-2023</t>
        </is>
      </c>
      <c r="B70" t="inlineStr">
        <is>
          <t>avverkningsanmälan</t>
        </is>
      </c>
      <c r="C70" t="inlineStr">
        <is>
          <t>Föryngringsavverkning</t>
        </is>
      </c>
      <c r="D70" s="1" t="n">
        <v>45110</v>
      </c>
      <c r="E70" s="1" t="n">
        <v>46260</v>
      </c>
      <c r="F70" t="inlineStr">
        <is>
          <t>VÄSTMANLANDS LÄN</t>
        </is>
      </c>
      <c r="G70" t="inlineStr">
        <is>
          <t>SURAHAMMAR</t>
        </is>
      </c>
      <c r="H70" t="inlineStr">
        <is>
          <t>Sveaskog</t>
        </is>
      </c>
      <c r="I70" t="n">
        <v>1.1</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HYPERLINK("https://klasma.github.io/Logging_1907/artfynd/A 30076-2023 artfynd.xlsx", "A 30076-2023")</f>
        <v/>
      </c>
      <c r="X70">
        <f>HYPERLINK("https://klasma.github.io/Logging_1907/kartor/A 30076-2023 karta.png", "A 30076-2023")</f>
        <v/>
      </c>
      <c r="Y70">
        <f>HYPERLINK("https://klasma.github.io/Logging_1907/kartor_geotiff/A 30076-2023 georefererad karta.tif", "A 30076-2023")</f>
        <v/>
      </c>
      <c r="AA70">
        <f>HYPERLINK("https://klasma.github.io/Logging_1907/klagomål/A 30076-2023 FSC-klagomål.docx", "A 30076-2023")</f>
        <v/>
      </c>
      <c r="AB70">
        <f>HYPERLINK("https://klasma.github.io/Logging_1907/klagomålsmail/A 30076-2023 FSC-klagomål mail.docx", "A 30076-2023")</f>
        <v/>
      </c>
      <c r="AC70">
        <f>HYPERLINK("https://klasma.github.io/Logging_1907/tillsyn/A 30076-2023 tillsynsbegäran.docx", "A 30076-2023")</f>
        <v/>
      </c>
      <c r="AD70">
        <f>HYPERLINK("https://klasma.github.io/Logging_1907/tillsynsmail/A 30076-2023 tillsynsbegäran mail.docx", "A 30076-2023")</f>
        <v/>
      </c>
    </row>
    <row r="71" ht="15" customHeight="1">
      <c r="A71" t="inlineStr">
        <is>
          <t>A 37287-2023</t>
        </is>
      </c>
      <c r="B71" t="inlineStr">
        <is>
          <t>avverkningsanmälan</t>
        </is>
      </c>
      <c r="C71" t="inlineStr">
        <is>
          <t>Föryngringsavverkning</t>
        </is>
      </c>
      <c r="D71" s="1" t="n">
        <v>45156</v>
      </c>
      <c r="E71" s="1" t="n">
        <v>46260</v>
      </c>
      <c r="F71" t="inlineStr">
        <is>
          <t>VÄSTMANLANDS LÄN</t>
        </is>
      </c>
      <c r="G71" t="inlineStr">
        <is>
          <t>SURAHAMMAR</t>
        </is>
      </c>
      <c r="I71" t="n">
        <v>0.6</v>
      </c>
      <c r="J71" t="n">
        <v>0</v>
      </c>
      <c r="K71" t="n">
        <v>0</v>
      </c>
      <c r="L71" t="n">
        <v>1</v>
      </c>
      <c r="M71" t="n">
        <v>0</v>
      </c>
      <c r="N71" t="n">
        <v>0</v>
      </c>
      <c r="O71" t="n">
        <v>0</v>
      </c>
      <c r="P71" t="n">
        <v>0</v>
      </c>
      <c r="Q71" t="n">
        <v>1</v>
      </c>
      <c r="R71" t="n">
        <v>0</v>
      </c>
      <c r="S71" t="n">
        <v>1</v>
      </c>
      <c r="T71" t="n">
        <v>1</v>
      </c>
      <c r="U71" t="n">
        <v>0</v>
      </c>
      <c r="V71" s="2" t="inlineStr">
        <is>
          <t>Mindre tåtelsmygare</t>
        </is>
      </c>
      <c r="W71">
        <f>HYPERLINK("https://klasma.github.io/Logging_1907/artfynd/A 37287-2023 artfynd.xlsx", "A 37287-2023")</f>
        <v/>
      </c>
      <c r="X71">
        <f>HYPERLINK("https://klasma.github.io/Logging_1907/kartor/A 37287-2023 karta.png", "A 37287-2023")</f>
        <v/>
      </c>
      <c r="Y71">
        <f>HYPERLINK("https://klasma.github.io/Logging_1907/kartor_geotiff/A 37287-2023 georefererad karta.tif", "A 37287-2023")</f>
        <v/>
      </c>
      <c r="AA71">
        <f>HYPERLINK("https://klasma.github.io/Logging_1907/klagomål/A 37287-2023 FSC-klagomål.docx", "A 37287-2023")</f>
        <v/>
      </c>
      <c r="AB71">
        <f>HYPERLINK("https://klasma.github.io/Logging_1907/klagomålsmail/A 37287-2023 FSC-klagomål mail.docx", "A 37287-2023")</f>
        <v/>
      </c>
      <c r="AC71">
        <f>HYPERLINK("https://klasma.github.io/Logging_1907/tillsyn/A 37287-2023 tillsynsbegäran.docx", "A 37287-2023")</f>
        <v/>
      </c>
      <c r="AD71">
        <f>HYPERLINK("https://klasma.github.io/Logging_1907/tillsynsmail/A 37287-2023 tillsynsbegäran mail.docx", "A 37287-2023")</f>
        <v/>
      </c>
    </row>
    <row r="72" ht="15" customHeight="1">
      <c r="A72" t="inlineStr">
        <is>
          <t>A 39099-2022</t>
        </is>
      </c>
      <c r="B72" t="inlineStr">
        <is>
          <t>avverkningsanmälan</t>
        </is>
      </c>
      <c r="C72" t="inlineStr">
        <is>
          <t>Föryngringsavverkning</t>
        </is>
      </c>
      <c r="D72" s="1" t="n">
        <v>44817</v>
      </c>
      <c r="E72" s="1" t="n">
        <v>46260</v>
      </c>
      <c r="F72" t="inlineStr">
        <is>
          <t>VÄSTMANLANDS LÄN</t>
        </is>
      </c>
      <c r="G72" t="inlineStr">
        <is>
          <t>SURAHAMMAR</t>
        </is>
      </c>
      <c r="H72" t="inlineStr">
        <is>
          <t>Bergvik skog väst AB</t>
        </is>
      </c>
      <c r="I72" t="n">
        <v>7.4</v>
      </c>
      <c r="J72" t="n">
        <v>0</v>
      </c>
      <c r="K72" t="n">
        <v>1</v>
      </c>
      <c r="L72" t="n">
        <v>0</v>
      </c>
      <c r="M72" t="n">
        <v>0</v>
      </c>
      <c r="N72" t="n">
        <v>0</v>
      </c>
      <c r="O72" t="n">
        <v>0</v>
      </c>
      <c r="P72" t="n">
        <v>0</v>
      </c>
      <c r="Q72" t="n">
        <v>0</v>
      </c>
      <c r="R72" t="n">
        <v>0</v>
      </c>
      <c r="S72" t="n">
        <v>1</v>
      </c>
      <c r="T72" t="n">
        <v>1</v>
      </c>
      <c r="U72" t="n">
        <v>1</v>
      </c>
      <c r="V72" s="2" t="inlineStr">
        <is>
          <t>Grönpyrola</t>
        </is>
      </c>
      <c r="W72">
        <f>HYPERLINK("https://klasma.github.io/Logging_1907/artfynd/A 39099-2022 artfynd.xlsx", "A 39099-2022")</f>
        <v/>
      </c>
      <c r="X72">
        <f>HYPERLINK("https://klasma.github.io/Logging_1907/kartor/A 39099-2022 karta.png", "A 39099-2022")</f>
        <v/>
      </c>
      <c r="Y72">
        <f>HYPERLINK("https://klasma.github.io/Logging_1907/kartor_geotiff/A 39099-2022 georefererad karta.tif", "A 39099-2022")</f>
        <v/>
      </c>
      <c r="AA72">
        <f>HYPERLINK("https://klasma.github.io/Logging_1907/klagomål/A 39099-2022 FSC-klagomål.docx", "A 39099-2022")</f>
        <v/>
      </c>
      <c r="AB72">
        <f>HYPERLINK("https://klasma.github.io/Logging_1907/klagomålsmail/A 39099-2022 FSC-klagomål mail.docx", "A 39099-2022")</f>
        <v/>
      </c>
      <c r="AC72">
        <f>HYPERLINK("https://klasma.github.io/Logging_1907/tillsyn/A 39099-2022 tillsynsbegäran.docx", "A 39099-2022")</f>
        <v/>
      </c>
      <c r="AD72">
        <f>HYPERLINK("https://klasma.github.io/Logging_1907/tillsynsmail/A 39099-2022 tillsynsbegäran mail.docx", "A 39099-2022")</f>
        <v/>
      </c>
    </row>
    <row r="73" ht="15" customHeight="1">
      <c r="A73" t="inlineStr">
        <is>
          <t>A 17632-2022</t>
        </is>
      </c>
      <c r="B73" t="inlineStr">
        <is>
          <t>avverkningsanmälan</t>
        </is>
      </c>
      <c r="C73" t="inlineStr">
        <is>
          <t>Föryngringsavverkning</t>
        </is>
      </c>
      <c r="D73" s="1" t="n">
        <v>44680</v>
      </c>
      <c r="E73" s="1" t="n">
        <v>46260</v>
      </c>
      <c r="F73" t="inlineStr">
        <is>
          <t>VÄSTMANLANDS LÄN</t>
        </is>
      </c>
      <c r="G73" t="inlineStr">
        <is>
          <t>SURAHAMMAR</t>
        </is>
      </c>
      <c r="I73" t="n">
        <v>5.2</v>
      </c>
      <c r="J73" t="n">
        <v>0</v>
      </c>
      <c r="K73" t="n">
        <v>1</v>
      </c>
      <c r="L73" t="n">
        <v>0</v>
      </c>
      <c r="M73" t="n">
        <v>0</v>
      </c>
      <c r="N73" t="n">
        <v>0</v>
      </c>
      <c r="O73" t="n">
        <v>0</v>
      </c>
      <c r="P73" t="n">
        <v>0</v>
      </c>
      <c r="Q73" t="n">
        <v>0</v>
      </c>
      <c r="R73" t="n">
        <v>0</v>
      </c>
      <c r="S73" t="n">
        <v>1</v>
      </c>
      <c r="T73" t="n">
        <v>1</v>
      </c>
      <c r="U73" t="n">
        <v>0</v>
      </c>
      <c r="V73" s="2" t="inlineStr">
        <is>
          <t>Blodticka</t>
        </is>
      </c>
      <c r="W73">
        <f>HYPERLINK("https://klasma.github.io/Logging_1907/artfynd/A 17632-2022 artfynd.xlsx", "A 17632-2022")</f>
        <v/>
      </c>
      <c r="X73">
        <f>HYPERLINK("https://klasma.github.io/Logging_1907/kartor/A 17632-2022 karta.png", "A 17632-2022")</f>
        <v/>
      </c>
      <c r="Y73">
        <f>HYPERLINK("https://klasma.github.io/Logging_1907/kartor_geotiff/A 17632-2022 georefererad karta.tif", "A 17632-2022")</f>
        <v/>
      </c>
      <c r="AA73">
        <f>HYPERLINK("https://klasma.github.io/Logging_1907/klagomål/A 17632-2022 FSC-klagomål.docx", "A 17632-2022")</f>
        <v/>
      </c>
      <c r="AB73">
        <f>HYPERLINK("https://klasma.github.io/Logging_1907/klagomålsmail/A 17632-2022 FSC-klagomål mail.docx", "A 17632-2022")</f>
        <v/>
      </c>
      <c r="AC73">
        <f>HYPERLINK("https://klasma.github.io/Logging_1907/tillsyn/A 17632-2022 tillsynsbegäran.docx", "A 17632-2022")</f>
        <v/>
      </c>
      <c r="AD73">
        <f>HYPERLINK("https://klasma.github.io/Logging_1907/tillsynsmail/A 17632-2022 tillsynsbegäran mail.docx", "A 17632-2022")</f>
        <v/>
      </c>
    </row>
    <row r="74" ht="15" customHeight="1">
      <c r="A74" t="inlineStr">
        <is>
          <t>A 34955-2022</t>
        </is>
      </c>
      <c r="B74" t="inlineStr">
        <is>
          <t>avverkningsanmälan</t>
        </is>
      </c>
      <c r="C74" t="inlineStr">
        <is>
          <t>Föryngringsavverkning</t>
        </is>
      </c>
      <c r="D74" s="1" t="n">
        <v>44796</v>
      </c>
      <c r="E74" s="1" t="n">
        <v>46260</v>
      </c>
      <c r="F74" t="inlineStr">
        <is>
          <t>VÄSTMANLANDS LÄN</t>
        </is>
      </c>
      <c r="G74" t="inlineStr">
        <is>
          <t>SURAHAMMAR</t>
        </is>
      </c>
      <c r="H74" t="inlineStr">
        <is>
          <t>Sveaskog</t>
        </is>
      </c>
      <c r="I74" t="n">
        <v>4.6</v>
      </c>
      <c r="J74" t="n">
        <v>0</v>
      </c>
      <c r="K74" t="n">
        <v>0</v>
      </c>
      <c r="L74" t="n">
        <v>1</v>
      </c>
      <c r="M74" t="n">
        <v>0</v>
      </c>
      <c r="N74" t="n">
        <v>0</v>
      </c>
      <c r="O74" t="n">
        <v>0</v>
      </c>
      <c r="P74" t="n">
        <v>0</v>
      </c>
      <c r="Q74" t="n">
        <v>1</v>
      </c>
      <c r="R74" t="n">
        <v>0</v>
      </c>
      <c r="S74" t="n">
        <v>1</v>
      </c>
      <c r="T74" t="n">
        <v>1</v>
      </c>
      <c r="U74" t="n">
        <v>1</v>
      </c>
      <c r="V74" s="2" t="inlineStr">
        <is>
          <t>Svinrot</t>
        </is>
      </c>
      <c r="W74">
        <f>HYPERLINK("https://klasma.github.io/Logging_1907/artfynd/A 34955-2022 artfynd.xlsx", "A 34955-2022")</f>
        <v/>
      </c>
      <c r="X74">
        <f>HYPERLINK("https://klasma.github.io/Logging_1907/kartor/A 34955-2022 karta.png", "A 34955-2022")</f>
        <v/>
      </c>
      <c r="Y74">
        <f>HYPERLINK("https://klasma.github.io/Logging_1907/kartor_geotiff/A 34955-2022 georefererad karta.tif", "A 34955-2022")</f>
        <v/>
      </c>
      <c r="AA74">
        <f>HYPERLINK("https://klasma.github.io/Logging_1907/klagomål/A 34955-2022 FSC-klagomål.docx", "A 34955-2022")</f>
        <v/>
      </c>
      <c r="AB74">
        <f>HYPERLINK("https://klasma.github.io/Logging_1907/klagomålsmail/A 34955-2022 FSC-klagomål mail.docx", "A 34955-2022")</f>
        <v/>
      </c>
      <c r="AC74">
        <f>HYPERLINK("https://klasma.github.io/Logging_1907/tillsyn/A 34955-2022 tillsynsbegäran.docx", "A 34955-2022")</f>
        <v/>
      </c>
      <c r="AD74">
        <f>HYPERLINK("https://klasma.github.io/Logging_1907/tillsynsmail/A 34955-2022 tillsynsbegäran mail.docx", "A 34955-2022")</f>
        <v/>
      </c>
    </row>
    <row r="75" ht="15" customHeight="1">
      <c r="A75" t="inlineStr">
        <is>
          <t>A 34584-2025</t>
        </is>
      </c>
      <c r="B75" t="inlineStr">
        <is>
          <t>avverkningsanmälan</t>
        </is>
      </c>
      <c r="C75" t="inlineStr">
        <is>
          <t>Föryngringsavverkning</t>
        </is>
      </c>
      <c r="D75" s="1" t="n">
        <v>45846</v>
      </c>
      <c r="E75" s="1" t="n">
        <v>46260</v>
      </c>
      <c r="F75" t="inlineStr">
        <is>
          <t>VÄSTMANLANDS LÄN</t>
        </is>
      </c>
      <c r="G75" t="inlineStr">
        <is>
          <t>SURAHAMMAR</t>
        </is>
      </c>
      <c r="H75" t="inlineStr">
        <is>
          <t>Bergvik skog väst AB</t>
        </is>
      </c>
      <c r="I75" t="n">
        <v>2.7</v>
      </c>
      <c r="J75" t="n">
        <v>1</v>
      </c>
      <c r="K75" t="n">
        <v>0</v>
      </c>
      <c r="L75" t="n">
        <v>0</v>
      </c>
      <c r="M75" t="n">
        <v>0</v>
      </c>
      <c r="N75" t="n">
        <v>0</v>
      </c>
      <c r="O75" t="n">
        <v>0</v>
      </c>
      <c r="P75" t="n">
        <v>0</v>
      </c>
      <c r="Q75" t="n">
        <v>0</v>
      </c>
      <c r="R75" t="n">
        <v>0</v>
      </c>
      <c r="S75" t="n">
        <v>1</v>
      </c>
      <c r="T75" t="n">
        <v>1</v>
      </c>
      <c r="U75" t="n">
        <v>1</v>
      </c>
      <c r="V75" s="2" t="inlineStr">
        <is>
          <t>Tjäder</t>
        </is>
      </c>
      <c r="W75">
        <f>HYPERLINK("https://klasma.github.io/Logging_1907/artfynd/A 34584-2025 artfynd.xlsx", "A 34584-2025")</f>
        <v/>
      </c>
      <c r="X75">
        <f>HYPERLINK("https://klasma.github.io/Logging_1907/kartor/A 34584-2025 karta.png", "A 34584-2025")</f>
        <v/>
      </c>
      <c r="Y75">
        <f>HYPERLINK("https://klasma.github.io/Logging_1907/kartor_geotiff/A 34584-2025 georefererad karta.tif", "A 34584-2025")</f>
        <v/>
      </c>
      <c r="AA75">
        <f>HYPERLINK("https://klasma.github.io/Logging_1907/klagomål/A 34584-2025 FSC-klagomål.docx", "A 34584-2025")</f>
        <v/>
      </c>
      <c r="AB75">
        <f>HYPERLINK("https://klasma.github.io/Logging_1907/klagomålsmail/A 34584-2025 FSC-klagomål mail.docx", "A 34584-2025")</f>
        <v/>
      </c>
      <c r="AC75">
        <f>HYPERLINK("https://klasma.github.io/Logging_1907/tillsyn/A 34584-2025 tillsynsbegäran.docx", "A 34584-2025")</f>
        <v/>
      </c>
      <c r="AD75">
        <f>HYPERLINK("https://klasma.github.io/Logging_1907/tillsynsmail/A 34584-2025 tillsynsbegäran mail.docx", "A 34584-2025")</f>
        <v/>
      </c>
      <c r="AE75">
        <f>HYPERLINK("https://klasma.github.io/Logging_1907/fåglar/A 34584-2025 prioriterade fågelarter.docx", "A 34584-2025")</f>
        <v/>
      </c>
    </row>
    <row r="76" ht="15" customHeight="1">
      <c r="A76" t="inlineStr">
        <is>
          <t>A 10883-2023</t>
        </is>
      </c>
      <c r="B76" t="inlineStr">
        <is>
          <t>avverkningsanmälan</t>
        </is>
      </c>
      <c r="C76" t="inlineStr">
        <is>
          <t>Föryngringsavverkning</t>
        </is>
      </c>
      <c r="D76" s="1" t="n">
        <v>44991</v>
      </c>
      <c r="E76" s="1" t="n">
        <v>46260</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44356-2024</t>
        </is>
      </c>
      <c r="B77" t="inlineStr">
        <is>
          <t>avverkningsanmälan</t>
        </is>
      </c>
      <c r="C77" t="inlineStr">
        <is>
          <t>Föryngringsavverkning</t>
        </is>
      </c>
      <c r="D77" s="1" t="n">
        <v>45573</v>
      </c>
      <c r="E77" s="1" t="n">
        <v>46260</v>
      </c>
      <c r="F77" t="inlineStr">
        <is>
          <t>VÄSTMANLANDS LÄN</t>
        </is>
      </c>
      <c r="G77" t="inlineStr">
        <is>
          <t>SURAHAMMAR</t>
        </is>
      </c>
      <c r="H77" t="inlineStr">
        <is>
          <t>Sveaskog</t>
        </is>
      </c>
      <c r="I77" t="n">
        <v>0.7</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HYPERLINK("https://klasma.github.io/Logging_1907/artfynd/A 44356-2024 artfynd.xlsx", "A 44356-2024")</f>
        <v/>
      </c>
      <c r="X77">
        <f>HYPERLINK("https://klasma.github.io/Logging_1907/kartor/A 44356-2024 karta.png", "A 44356-2024")</f>
        <v/>
      </c>
      <c r="Y77">
        <f>HYPERLINK("https://klasma.github.io/Logging_1907/kartor_geotiff/A 44356-2024 georefererad karta.tif", "A 44356-2024")</f>
        <v/>
      </c>
      <c r="AA77">
        <f>HYPERLINK("https://klasma.github.io/Logging_1907/klagomål/A 44356-2024 FSC-klagomål.docx", "A 44356-2024")</f>
        <v/>
      </c>
      <c r="AB77">
        <f>HYPERLINK("https://klasma.github.io/Logging_1907/klagomålsmail/A 44356-2024 FSC-klagomål mail.docx", "A 44356-2024")</f>
        <v/>
      </c>
      <c r="AC77">
        <f>HYPERLINK("https://klasma.github.io/Logging_1907/tillsyn/A 44356-2024 tillsynsbegäran.docx", "A 44356-2024")</f>
        <v/>
      </c>
      <c r="AD77">
        <f>HYPERLINK("https://klasma.github.io/Logging_1907/tillsynsmail/A 44356-2024 tillsynsbegäran mail.docx", "A 44356-2024")</f>
        <v/>
      </c>
    </row>
    <row r="78" ht="15" customHeight="1">
      <c r="A78" t="inlineStr">
        <is>
          <t>A 31589-2026</t>
        </is>
      </c>
      <c r="B78" t="inlineStr">
        <is>
          <t>avverkningsanmälan</t>
        </is>
      </c>
      <c r="C78" t="inlineStr">
        <is>
          <t>Föryngringsavverkning</t>
        </is>
      </c>
      <c r="D78" s="1" t="n">
        <v>46224</v>
      </c>
      <c r="E78" s="1" t="n">
        <v>46260</v>
      </c>
      <c r="F78" t="inlineStr">
        <is>
          <t>VÄSTMANLANDS LÄN</t>
        </is>
      </c>
      <c r="G78" t="inlineStr">
        <is>
          <t>SURAHAMMAR</t>
        </is>
      </c>
      <c r="H78" t="inlineStr">
        <is>
          <t>Allmännings- och besparingsskogar</t>
        </is>
      </c>
      <c r="I78" t="n">
        <v>7</v>
      </c>
      <c r="J78" t="n">
        <v>0</v>
      </c>
      <c r="K78" t="n">
        <v>1</v>
      </c>
      <c r="L78" t="n">
        <v>0</v>
      </c>
      <c r="M78" t="n">
        <v>0</v>
      </c>
      <c r="N78" t="n">
        <v>0</v>
      </c>
      <c r="O78" t="n">
        <v>0</v>
      </c>
      <c r="P78" t="n">
        <v>0</v>
      </c>
      <c r="Q78" t="n">
        <v>0</v>
      </c>
      <c r="R78" t="n">
        <v>0</v>
      </c>
      <c r="S78" t="n">
        <v>1</v>
      </c>
      <c r="T78" t="n">
        <v>1</v>
      </c>
      <c r="U78" t="n">
        <v>0</v>
      </c>
      <c r="V78" s="2" t="inlineStr">
        <is>
          <t>Blomkålssvamp</t>
        </is>
      </c>
      <c r="W78">
        <f>HYPERLINK("https://klasma.github.io/Logging_1907/artfynd/A 31589-2026 artfynd.xlsx", "A 31589-2026")</f>
        <v/>
      </c>
      <c r="X78">
        <f>HYPERLINK("https://klasma.github.io/Logging_1907/kartor/A 31589-2026 karta.png", "A 31589-2026")</f>
        <v/>
      </c>
      <c r="Y78">
        <f>HYPERLINK("https://klasma.github.io/Logging_1907/kartor_geotiff/A 31589-2026 georefererad karta.tif", "A 31589-2026")</f>
        <v/>
      </c>
      <c r="AA78">
        <f>HYPERLINK("https://klasma.github.io/Logging_1907/klagomål/A 31589-2026 FSC-klagomål.docx", "A 31589-2026")</f>
        <v/>
      </c>
      <c r="AB78">
        <f>HYPERLINK("https://klasma.github.io/Logging_1907/klagomålsmail/A 31589-2026 FSC-klagomål mail.docx", "A 31589-2026")</f>
        <v/>
      </c>
      <c r="AC78">
        <f>HYPERLINK("https://klasma.github.io/Logging_1907/tillsyn/A 31589-2026 tillsynsbegäran.docx", "A 31589-2026")</f>
        <v/>
      </c>
      <c r="AD78">
        <f>HYPERLINK("https://klasma.github.io/Logging_1907/tillsynsmail/A 31589-2026 tillsynsbegäran mail.docx", "A 31589-2026")</f>
        <v/>
      </c>
    </row>
    <row r="79" ht="15" customHeight="1">
      <c r="A79" t="inlineStr">
        <is>
          <t>A 33231-2024</t>
        </is>
      </c>
      <c r="B79" t="inlineStr">
        <is>
          <t>avverkningsanmälan</t>
        </is>
      </c>
      <c r="C79" t="inlineStr">
        <is>
          <t>Föryngringsavverkning</t>
        </is>
      </c>
      <c r="D79" s="1" t="n">
        <v>45518</v>
      </c>
      <c r="E79" s="1" t="n">
        <v>46260</v>
      </c>
      <c r="F79" t="inlineStr">
        <is>
          <t>VÄSTMANLANDS LÄN</t>
        </is>
      </c>
      <c r="G79" t="inlineStr">
        <is>
          <t>SURAHAMMAR</t>
        </is>
      </c>
      <c r="H79" t="inlineStr">
        <is>
          <t>Bergvik skog väst AB</t>
        </is>
      </c>
      <c r="I79" t="n">
        <v>1.5</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HYPERLINK("https://klasma.github.io/Logging_1907/artfynd/A 33231-2024 artfynd.xlsx", "A 33231-2024")</f>
        <v/>
      </c>
      <c r="X79">
        <f>HYPERLINK("https://klasma.github.io/Logging_1907/kartor/A 33231-2024 karta.png", "A 33231-2024")</f>
        <v/>
      </c>
      <c r="Y79">
        <f>HYPERLINK("https://klasma.github.io/Logging_1907/kartor_geotiff/A 33231-2024 georefererad karta.tif", "A 33231-2024")</f>
        <v/>
      </c>
      <c r="AA79">
        <f>HYPERLINK("https://klasma.github.io/Logging_1907/klagomål/A 33231-2024 FSC-klagomål.docx", "A 33231-2024")</f>
        <v/>
      </c>
      <c r="AB79">
        <f>HYPERLINK("https://klasma.github.io/Logging_1907/klagomålsmail/A 33231-2024 FSC-klagomål mail.docx", "A 33231-2024")</f>
        <v/>
      </c>
      <c r="AC79">
        <f>HYPERLINK("https://klasma.github.io/Logging_1907/tillsyn/A 33231-2024 tillsynsbegäran.docx", "A 33231-2024")</f>
        <v/>
      </c>
      <c r="AD79">
        <f>HYPERLINK("https://klasma.github.io/Logging_1907/tillsynsmail/A 33231-2024 tillsynsbegäran mail.docx", "A 33231-2024")</f>
        <v/>
      </c>
    </row>
    <row r="80" ht="15" customHeight="1">
      <c r="A80" t="inlineStr">
        <is>
          <t>A 24167-2024</t>
        </is>
      </c>
      <c r="B80" t="inlineStr">
        <is>
          <t>avverkningsanmälan</t>
        </is>
      </c>
      <c r="C80" t="inlineStr">
        <is>
          <t>Avverkning för annat ändamål</t>
        </is>
      </c>
      <c r="D80" s="1" t="n">
        <v>45456</v>
      </c>
      <c r="E80" s="1" t="n">
        <v>46260</v>
      </c>
      <c r="F80" t="inlineStr">
        <is>
          <t>VÄSTMANLANDS LÄN</t>
        </is>
      </c>
      <c r="G80" t="inlineStr">
        <is>
          <t>SURAHAMMAR</t>
        </is>
      </c>
      <c r="I80" t="n">
        <v>0.6</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HYPERLINK("https://klasma.github.io/Logging_1907/artfynd/A 24167-2024 artfynd.xlsx", "A 24167-2024")</f>
        <v/>
      </c>
      <c r="X80">
        <f>HYPERLINK("https://klasma.github.io/Logging_1907/kartor/A 24167-2024 karta.png", "A 24167-2024")</f>
        <v/>
      </c>
      <c r="Y80">
        <f>HYPERLINK("https://klasma.github.io/Logging_1907/kartor_geotiff/A 24167-2024 georefererad karta.tif", "A 24167-2024")</f>
        <v/>
      </c>
      <c r="AA80">
        <f>HYPERLINK("https://klasma.github.io/Logging_1907/klagomål/A 24167-2024 FSC-klagomål.docx", "A 24167-2024")</f>
        <v/>
      </c>
      <c r="AB80">
        <f>HYPERLINK("https://klasma.github.io/Logging_1907/klagomålsmail/A 24167-2024 FSC-klagomål mail.docx", "A 24167-2024")</f>
        <v/>
      </c>
      <c r="AC80">
        <f>HYPERLINK("https://klasma.github.io/Logging_1907/tillsyn/A 24167-2024 tillsynsbegäran.docx", "A 24167-2024")</f>
        <v/>
      </c>
      <c r="AD80">
        <f>HYPERLINK("https://klasma.github.io/Logging_1907/tillsynsmail/A 24167-2024 tillsynsbegäran mail.docx", "A 24167-2024")</f>
        <v/>
      </c>
    </row>
    <row r="81" ht="15" customHeight="1">
      <c r="A81" t="inlineStr">
        <is>
          <t>A 16013-2023</t>
        </is>
      </c>
      <c r="B81" t="inlineStr">
        <is>
          <t>avverkningsanmälan</t>
        </is>
      </c>
      <c r="C81" t="inlineStr">
        <is>
          <t>Föryngringsavverkning</t>
        </is>
      </c>
      <c r="D81" s="1" t="n">
        <v>45026</v>
      </c>
      <c r="E81" s="1" t="n">
        <v>46260</v>
      </c>
      <c r="F81" t="inlineStr">
        <is>
          <t>VÄSTMANLANDS LÄN</t>
        </is>
      </c>
      <c r="G81" t="inlineStr">
        <is>
          <t>SURAHAMMAR</t>
        </is>
      </c>
      <c r="I81" t="n">
        <v>3.9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HYPERLINK("https://klasma.github.io/Logging_1907/artfynd/A 16013-2023 artfynd.xlsx", "A 16013-2023")</f>
        <v/>
      </c>
      <c r="X81">
        <f>HYPERLINK("https://klasma.github.io/Logging_1907/kartor/A 16013-2023 karta.png", "A 16013-2023")</f>
        <v/>
      </c>
      <c r="Y81">
        <f>HYPERLINK("https://klasma.github.io/Logging_1907/kartor_geotiff/A 16013-2023 georefererad karta.tif", "A 16013-2023")</f>
        <v/>
      </c>
      <c r="AA81">
        <f>HYPERLINK("https://klasma.github.io/Logging_1907/klagomål/A 16013-2023 FSC-klagomål.docx", "A 16013-2023")</f>
        <v/>
      </c>
      <c r="AB81">
        <f>HYPERLINK("https://klasma.github.io/Logging_1907/klagomålsmail/A 16013-2023 FSC-klagomål mail.docx", "A 16013-2023")</f>
        <v/>
      </c>
      <c r="AC81">
        <f>HYPERLINK("https://klasma.github.io/Logging_1907/tillsyn/A 16013-2023 tillsynsbegäran.docx", "A 16013-2023")</f>
        <v/>
      </c>
      <c r="AD81">
        <f>HYPERLINK("https://klasma.github.io/Logging_1907/tillsynsmail/A 16013-2023 tillsynsbegäran mail.docx", "A 16013-2023")</f>
        <v/>
      </c>
    </row>
    <row r="82" ht="15" customHeight="1">
      <c r="A82" t="inlineStr">
        <is>
          <t>A 47785-2021</t>
        </is>
      </c>
      <c r="B82" t="inlineStr">
        <is>
          <t>avverkningsanmälan</t>
        </is>
      </c>
      <c r="C82" t="inlineStr">
        <is>
          <t>Föryngringsavverkning</t>
        </is>
      </c>
      <c r="D82" s="1" t="n">
        <v>44448</v>
      </c>
      <c r="E82" s="1" t="n">
        <v>46260</v>
      </c>
      <c r="F82" t="inlineStr">
        <is>
          <t>VÄSTMANLANDS LÄN</t>
        </is>
      </c>
      <c r="G82" t="inlineStr">
        <is>
          <t>SURAHAMMAR</t>
        </is>
      </c>
      <c r="H82" t="inlineStr">
        <is>
          <t>Kommuner</t>
        </is>
      </c>
      <c r="I82" t="n">
        <v>3.3</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HYPERLINK("https://klasma.github.io/Logging_1907/artfynd/A 47785-2021 artfynd.xlsx", "A 47785-2021")</f>
        <v/>
      </c>
      <c r="X82">
        <f>HYPERLINK("https://klasma.github.io/Logging_1907/kartor/A 47785-2021 karta.png", "A 47785-2021")</f>
        <v/>
      </c>
      <c r="Y82">
        <f>HYPERLINK("https://klasma.github.io/Logging_1907/kartor_geotiff/A 47785-2021 georefererad karta.tif", "A 47785-2021")</f>
        <v/>
      </c>
      <c r="AA82">
        <f>HYPERLINK("https://klasma.github.io/Logging_1907/klagomål/A 47785-2021 FSC-klagomål.docx", "A 47785-2021")</f>
        <v/>
      </c>
      <c r="AB82">
        <f>HYPERLINK("https://klasma.github.io/Logging_1907/klagomålsmail/A 47785-2021 FSC-klagomål mail.docx", "A 47785-2021")</f>
        <v/>
      </c>
      <c r="AC82">
        <f>HYPERLINK("https://klasma.github.io/Logging_1907/tillsyn/A 47785-2021 tillsynsbegäran.docx", "A 47785-2021")</f>
        <v/>
      </c>
      <c r="AD82">
        <f>HYPERLINK("https://klasma.github.io/Logging_1907/tillsynsmail/A 47785-2021 tillsynsbegäran mail.docx", "A 47785-2021")</f>
        <v/>
      </c>
    </row>
    <row r="83" ht="15" customHeight="1">
      <c r="A83" t="inlineStr">
        <is>
          <t>A 64073-2021</t>
        </is>
      </c>
      <c r="B83" t="inlineStr">
        <is>
          <t>avverkningsanmälan</t>
        </is>
      </c>
      <c r="C83" t="inlineStr">
        <is>
          <t>Avverkning för annat ändamål</t>
        </is>
      </c>
      <c r="D83" s="1" t="n">
        <v>44509</v>
      </c>
      <c r="E83" s="1" t="n">
        <v>46260</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46260</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46260</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46260</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46260</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46260</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46260</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46260</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34957-2022</t>
        </is>
      </c>
      <c r="B91" t="inlineStr">
        <is>
          <t>avverkningsanmälan</t>
        </is>
      </c>
      <c r="C91" t="inlineStr">
        <is>
          <t>Föryngringsavverkning</t>
        </is>
      </c>
      <c r="D91" s="1" t="n">
        <v>44796</v>
      </c>
      <c r="E91" s="1" t="n">
        <v>46260</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15637-2022</t>
        </is>
      </c>
      <c r="B92" t="inlineStr">
        <is>
          <t>avverkningsanmälan</t>
        </is>
      </c>
      <c r="C92" t="inlineStr">
        <is>
          <t>Föryngringsavverkning</t>
        </is>
      </c>
      <c r="D92" s="1" t="n">
        <v>44662</v>
      </c>
      <c r="E92" s="1" t="n">
        <v>46260</v>
      </c>
      <c r="F92" t="inlineStr">
        <is>
          <t>VÄSTMANLANDS LÄN</t>
        </is>
      </c>
      <c r="G92" t="inlineStr">
        <is>
          <t>SURAHAMMAR</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19786-2023</t>
        </is>
      </c>
      <c r="B93" t="inlineStr">
        <is>
          <t>avverkningsanmälan</t>
        </is>
      </c>
      <c r="C93" t="inlineStr">
        <is>
          <t>Föryngringsavverkning</t>
        </is>
      </c>
      <c r="D93" s="1" t="n">
        <v>45050</v>
      </c>
      <c r="E93" s="1" t="n">
        <v>46260</v>
      </c>
      <c r="F93" t="inlineStr">
        <is>
          <t>VÄSTMANLANDS LÄN</t>
        </is>
      </c>
      <c r="G93" t="inlineStr">
        <is>
          <t>SURAHAMMAR</t>
        </is>
      </c>
      <c r="H93" t="inlineStr">
        <is>
          <t>Bergvik skog väst AB</t>
        </is>
      </c>
      <c r="I93" t="n">
        <v>8.1</v>
      </c>
      <c r="J93" t="n">
        <v>0</v>
      </c>
      <c r="K93" t="n">
        <v>0</v>
      </c>
      <c r="L93" t="n">
        <v>0</v>
      </c>
      <c r="M93" t="n">
        <v>0</v>
      </c>
      <c r="N93" t="n">
        <v>0</v>
      </c>
      <c r="O93" t="n">
        <v>0</v>
      </c>
      <c r="P93" t="n">
        <v>0</v>
      </c>
      <c r="Q93" t="n">
        <v>0</v>
      </c>
      <c r="R93" t="n">
        <v>0</v>
      </c>
      <c r="S93" t="n">
        <v>0</v>
      </c>
      <c r="T93" t="n">
        <v>0</v>
      </c>
      <c r="U93" t="n">
        <v>0</v>
      </c>
      <c r="V93" s="2" t="inlineStr"/>
    </row>
    <row r="94" ht="15" customHeight="1">
      <c r="A94" t="inlineStr">
        <is>
          <t>A 48205-2023</t>
        </is>
      </c>
      <c r="B94" t="inlineStr">
        <is>
          <t>avverkningsanmälan</t>
        </is>
      </c>
      <c r="C94" t="inlineStr">
        <is>
          <t>Föryngringsavverkning</t>
        </is>
      </c>
      <c r="D94" s="1" t="n">
        <v>45205</v>
      </c>
      <c r="E94" s="1" t="n">
        <v>46260</v>
      </c>
      <c r="F94" t="inlineStr">
        <is>
          <t>VÄSTMANLANDS LÄN</t>
        </is>
      </c>
      <c r="G94" t="inlineStr">
        <is>
          <t>SURAHAMMAR</t>
        </is>
      </c>
      <c r="H94" t="inlineStr">
        <is>
          <t>Allmännings- och besparingsskogar</t>
        </is>
      </c>
      <c r="I94" t="n">
        <v>7.6</v>
      </c>
      <c r="J94" t="n">
        <v>0</v>
      </c>
      <c r="K94" t="n">
        <v>0</v>
      </c>
      <c r="L94" t="n">
        <v>0</v>
      </c>
      <c r="M94" t="n">
        <v>0</v>
      </c>
      <c r="N94" t="n">
        <v>0</v>
      </c>
      <c r="O94" t="n">
        <v>0</v>
      </c>
      <c r="P94" t="n">
        <v>0</v>
      </c>
      <c r="Q94" t="n">
        <v>0</v>
      </c>
      <c r="R94" t="n">
        <v>0</v>
      </c>
      <c r="S94" t="n">
        <v>0</v>
      </c>
      <c r="T94" t="n">
        <v>0</v>
      </c>
      <c r="U94" t="n">
        <v>0</v>
      </c>
      <c r="V94" s="2" t="inlineStr"/>
    </row>
    <row r="95" ht="15" customHeight="1">
      <c r="A95" t="inlineStr">
        <is>
          <t>A 15743-2023</t>
        </is>
      </c>
      <c r="B95" t="inlineStr">
        <is>
          <t>avverkningsanmälan</t>
        </is>
      </c>
      <c r="C95" t="inlineStr">
        <is>
          <t>Föryngringsavverkning</t>
        </is>
      </c>
      <c r="D95" s="1" t="n">
        <v>45021</v>
      </c>
      <c r="E95" s="1" t="n">
        <v>46260</v>
      </c>
      <c r="F95" t="inlineStr">
        <is>
          <t>VÄSTMANLANDS LÄN</t>
        </is>
      </c>
      <c r="G95" t="inlineStr">
        <is>
          <t>SURAHAMMAR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7787-2024</t>
        </is>
      </c>
      <c r="B96" t="inlineStr">
        <is>
          <t>avverkningsanmälan</t>
        </is>
      </c>
      <c r="C96" t="inlineStr">
        <is>
          <t>Föryngringsavverkning</t>
        </is>
      </c>
      <c r="D96" s="1" t="n">
        <v>45348</v>
      </c>
      <c r="E96" s="1" t="n">
        <v>46260</v>
      </c>
      <c r="F96" t="inlineStr">
        <is>
          <t>VÄSTMANLANDS LÄN</t>
        </is>
      </c>
      <c r="G96" t="inlineStr">
        <is>
          <t>SURAHAMMAR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4724-2026</t>
        </is>
      </c>
      <c r="B97" t="inlineStr">
        <is>
          <t>avverkningsanmälan</t>
        </is>
      </c>
      <c r="C97" t="inlineStr">
        <is>
          <t>Föryngringsavverkning</t>
        </is>
      </c>
      <c r="D97" s="1" t="n">
        <v>46048</v>
      </c>
      <c r="E97" s="1" t="n">
        <v>46260</v>
      </c>
      <c r="F97" t="inlineStr">
        <is>
          <t>VÄSTMANLANDS LÄN</t>
        </is>
      </c>
      <c r="G97" t="inlineStr">
        <is>
          <t>SURAHAMMAR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4734-2026</t>
        </is>
      </c>
      <c r="B98" t="inlineStr">
        <is>
          <t>avverkningsanmälan</t>
        </is>
      </c>
      <c r="C98" t="inlineStr">
        <is>
          <t>Föryngringsavverkning</t>
        </is>
      </c>
      <c r="D98" s="1" t="n">
        <v>46048</v>
      </c>
      <c r="E98" s="1" t="n">
        <v>46260</v>
      </c>
      <c r="F98" t="inlineStr">
        <is>
          <t>VÄSTMANLANDS LÄN</t>
        </is>
      </c>
      <c r="G98" t="inlineStr">
        <is>
          <t>SURAHAMMAR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72367-2021</t>
        </is>
      </c>
      <c r="B99" t="inlineStr">
        <is>
          <t>avverkningsanmälan</t>
        </is>
      </c>
      <c r="C99" t="inlineStr">
        <is>
          <t>Föryngringsavverkning</t>
        </is>
      </c>
      <c r="D99" s="1" t="n">
        <v>44545</v>
      </c>
      <c r="E99" s="1" t="n">
        <v>46260</v>
      </c>
      <c r="F99" t="inlineStr">
        <is>
          <t>VÄSTMANLANDS LÄN</t>
        </is>
      </c>
      <c r="G99" t="inlineStr">
        <is>
          <t>SURAHAMMAR</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10249-2026</t>
        </is>
      </c>
      <c r="B100" t="inlineStr">
        <is>
          <t>avverkningsanmälan</t>
        </is>
      </c>
      <c r="C100" t="inlineStr">
        <is>
          <t>Föryngringsavverkning</t>
        </is>
      </c>
      <c r="D100" s="1" t="n">
        <v>46076</v>
      </c>
      <c r="E100" s="1" t="n">
        <v>46260</v>
      </c>
      <c r="F100" t="inlineStr">
        <is>
          <t>VÄSTMANLANDS LÄN</t>
        </is>
      </c>
      <c r="G100" t="inlineStr">
        <is>
          <t>SURAHAMMAR</t>
        </is>
      </c>
      <c r="H100" t="inlineStr">
        <is>
          <t>Allmännings- och besparingsskogar</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10244-2026</t>
        </is>
      </c>
      <c r="B101" t="inlineStr">
        <is>
          <t>avverkningsanmälan</t>
        </is>
      </c>
      <c r="C101" t="inlineStr">
        <is>
          <t>Föryngringsavverkning</t>
        </is>
      </c>
      <c r="D101" s="1" t="n">
        <v>46076</v>
      </c>
      <c r="E101" s="1" t="n">
        <v>46260</v>
      </c>
      <c r="F101" t="inlineStr">
        <is>
          <t>VÄSTMANLANDS LÄN</t>
        </is>
      </c>
      <c r="G101" t="inlineStr">
        <is>
          <t>SURAHAMMAR</t>
        </is>
      </c>
      <c r="H101" t="inlineStr">
        <is>
          <t>Allmännings- och besparingsskogar</t>
        </is>
      </c>
      <c r="I101" t="n">
        <v>8.699999999999999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33931-2022</t>
        </is>
      </c>
      <c r="B102" t="inlineStr">
        <is>
          <t>avverkningsanmälan</t>
        </is>
      </c>
      <c r="C102" t="inlineStr">
        <is>
          <t>Föryngringsavverkning</t>
        </is>
      </c>
      <c r="D102" s="1" t="n">
        <v>44790</v>
      </c>
      <c r="E102" s="1" t="n">
        <v>46260</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10562-2026</t>
        </is>
      </c>
      <c r="B103" t="inlineStr">
        <is>
          <t>avverkningsanmälan</t>
        </is>
      </c>
      <c r="C103" t="inlineStr">
        <is>
          <t>Föryngringsavverkning</t>
        </is>
      </c>
      <c r="D103" s="1" t="n">
        <v>46077</v>
      </c>
      <c r="E103" s="1" t="n">
        <v>46260</v>
      </c>
      <c r="F103" t="inlineStr">
        <is>
          <t>VÄSTMANLANDS LÄN</t>
        </is>
      </c>
      <c r="G103" t="inlineStr">
        <is>
          <t>SURAHAMMAR</t>
        </is>
      </c>
      <c r="H103" t="inlineStr">
        <is>
          <t>Övriga Aktiebolag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10347-2026</t>
        </is>
      </c>
      <c r="B104" t="inlineStr">
        <is>
          <t>avverkningsanmälan</t>
        </is>
      </c>
      <c r="C104" t="inlineStr">
        <is>
          <t>Föryngringsavverkning</t>
        </is>
      </c>
      <c r="D104" s="1" t="n">
        <v>46076</v>
      </c>
      <c r="E104" s="1" t="n">
        <v>46260</v>
      </c>
      <c r="F104" t="inlineStr">
        <is>
          <t>VÄSTMANLANDS LÄN</t>
        </is>
      </c>
      <c r="G104" t="inlineStr">
        <is>
          <t>SURAHAMMAR</t>
        </is>
      </c>
      <c r="H104" t="inlineStr">
        <is>
          <t>Allmännings- och besparingsskogar</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12841-2026</t>
        </is>
      </c>
      <c r="B105" t="inlineStr">
        <is>
          <t>avverkningsanmälan</t>
        </is>
      </c>
      <c r="C105" t="inlineStr">
        <is>
          <t>Föryngringsavverkning</t>
        </is>
      </c>
      <c r="D105" s="1" t="n">
        <v>46091</v>
      </c>
      <c r="E105" s="1" t="n">
        <v>46260</v>
      </c>
      <c r="F105" t="inlineStr">
        <is>
          <t>VÄSTMANLANDS LÄN</t>
        </is>
      </c>
      <c r="G105" t="inlineStr">
        <is>
          <t>SURAHAMMAR</t>
        </is>
      </c>
      <c r="H105" t="inlineStr">
        <is>
          <t>Bergvik skog väst AB</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24158-2023</t>
        </is>
      </c>
      <c r="B106" t="inlineStr">
        <is>
          <t>avverkningsanmälan</t>
        </is>
      </c>
      <c r="C106" t="inlineStr">
        <is>
          <t>Föryngringsavverkning</t>
        </is>
      </c>
      <c r="D106" s="1" t="n">
        <v>45079</v>
      </c>
      <c r="E106" s="1" t="n">
        <v>46260</v>
      </c>
      <c r="F106" t="inlineStr">
        <is>
          <t>VÄSTMANLANDS LÄN</t>
        </is>
      </c>
      <c r="G106" t="inlineStr">
        <is>
          <t>SURAHAMMAR</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42714-2022</t>
        </is>
      </c>
      <c r="B107" t="inlineStr">
        <is>
          <t>avverkningsanmälan</t>
        </is>
      </c>
      <c r="C107" t="inlineStr">
        <is>
          <t>Föryngringsavverkning</t>
        </is>
      </c>
      <c r="D107" s="1" t="n">
        <v>44832</v>
      </c>
      <c r="E107" s="1" t="n">
        <v>46260</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35682-2022</t>
        </is>
      </c>
      <c r="B108" t="inlineStr">
        <is>
          <t>avverkningsanmälan</t>
        </is>
      </c>
      <c r="C108" t="inlineStr">
        <is>
          <t>Föryngringsavverkning</t>
        </is>
      </c>
      <c r="D108" s="1" t="n">
        <v>44799</v>
      </c>
      <c r="E108" s="1" t="n">
        <v>46260</v>
      </c>
      <c r="F108" t="inlineStr">
        <is>
          <t>VÄSTMANLANDS LÄN</t>
        </is>
      </c>
      <c r="G108" t="inlineStr">
        <is>
          <t>SURAHAMMAR</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46260</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5567-2022</t>
        </is>
      </c>
      <c r="B110" t="inlineStr">
        <is>
          <t>avverkningsanmälan</t>
        </is>
      </c>
      <c r="C110" t="inlineStr">
        <is>
          <t>Föryngringsavverkning</t>
        </is>
      </c>
      <c r="D110" s="1" t="n">
        <v>44595</v>
      </c>
      <c r="E110" s="1" t="n">
        <v>46260</v>
      </c>
      <c r="F110" t="inlineStr">
        <is>
          <t>VÄSTMANLANDS LÄN</t>
        </is>
      </c>
      <c r="G110" t="inlineStr">
        <is>
          <t>SURAHAMMAR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42832-2022</t>
        </is>
      </c>
      <c r="B111" t="inlineStr">
        <is>
          <t>avverkningsanmälan</t>
        </is>
      </c>
      <c r="C111" t="inlineStr">
        <is>
          <t>Avverkning för annat ändamål</t>
        </is>
      </c>
      <c r="D111" s="1" t="n">
        <v>44832</v>
      </c>
      <c r="E111" s="1" t="n">
        <v>46260</v>
      </c>
      <c r="F111" t="inlineStr">
        <is>
          <t>VÄSTMANLANDS LÄN</t>
        </is>
      </c>
      <c r="G111" t="inlineStr">
        <is>
          <t>SURAHAMMAR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19246-2026</t>
        </is>
      </c>
      <c r="B112" t="inlineStr">
        <is>
          <t>avverkningsanmälan</t>
        </is>
      </c>
      <c r="C112" t="inlineStr">
        <is>
          <t>Avverkning för annat ändamål</t>
        </is>
      </c>
      <c r="D112" s="1" t="n">
        <v>46132</v>
      </c>
      <c r="E112" s="1" t="n">
        <v>46260</v>
      </c>
      <c r="F112" t="inlineStr">
        <is>
          <t>VÄSTMANLANDS LÄN</t>
        </is>
      </c>
      <c r="G112" t="inlineStr">
        <is>
          <t>SURAHAMMAR</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24665-2023</t>
        </is>
      </c>
      <c r="B113" t="inlineStr">
        <is>
          <t>avverkningsanmälan</t>
        </is>
      </c>
      <c r="C113" t="inlineStr">
        <is>
          <t>Föryngringsavverkning</t>
        </is>
      </c>
      <c r="D113" s="1" t="n">
        <v>45084</v>
      </c>
      <c r="E113" s="1" t="n">
        <v>46260</v>
      </c>
      <c r="F113" t="inlineStr">
        <is>
          <t>VÄSTMANLANDS LÄN</t>
        </is>
      </c>
      <c r="G113" t="inlineStr">
        <is>
          <t>SURAHAMMAR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55873-2025</t>
        </is>
      </c>
      <c r="B114" t="inlineStr">
        <is>
          <t>avverkningsanmälan</t>
        </is>
      </c>
      <c r="C114" t="inlineStr">
        <is>
          <t>Föryngringsavverkning</t>
        </is>
      </c>
      <c r="D114" s="1" t="n">
        <v>45973</v>
      </c>
      <c r="E114" s="1" t="n">
        <v>46260</v>
      </c>
      <c r="F114" t="inlineStr">
        <is>
          <t>VÄSTMANLANDS LÄN</t>
        </is>
      </c>
      <c r="G114" t="inlineStr">
        <is>
          <t>SURAHAMMAR</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32808-2024</t>
        </is>
      </c>
      <c r="B115" t="inlineStr">
        <is>
          <t>avverkningsanmälan</t>
        </is>
      </c>
      <c r="C115" t="inlineStr">
        <is>
          <t>Föryngringsavverkning</t>
        </is>
      </c>
      <c r="D115" s="1" t="n">
        <v>45516</v>
      </c>
      <c r="E115" s="1" t="n">
        <v>46260</v>
      </c>
      <c r="F115" t="inlineStr">
        <is>
          <t>VÄSTMANLANDS LÄN</t>
        </is>
      </c>
      <c r="G115" t="inlineStr">
        <is>
          <t>SURAHAMMAR</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42841-2022</t>
        </is>
      </c>
      <c r="B116" t="inlineStr">
        <is>
          <t>avverkningsanmälan</t>
        </is>
      </c>
      <c r="C116" t="inlineStr">
        <is>
          <t>Avverkning för annat ändamål</t>
        </is>
      </c>
      <c r="D116" s="1" t="n">
        <v>44832</v>
      </c>
      <c r="E116" s="1" t="n">
        <v>46260</v>
      </c>
      <c r="F116" t="inlineStr">
        <is>
          <t>VÄSTMANLANDS LÄN</t>
        </is>
      </c>
      <c r="G116" t="inlineStr">
        <is>
          <t>SURAHAMMAR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42829-2022</t>
        </is>
      </c>
      <c r="B117" t="inlineStr">
        <is>
          <t>avverkningsanmälan</t>
        </is>
      </c>
      <c r="C117" t="inlineStr">
        <is>
          <t>Avverkning för annat ändamål</t>
        </is>
      </c>
      <c r="D117" s="1" t="n">
        <v>44832</v>
      </c>
      <c r="E117" s="1" t="n">
        <v>46260</v>
      </c>
      <c r="F117" t="inlineStr">
        <is>
          <t>VÄSTMANLANDS LÄN</t>
        </is>
      </c>
      <c r="G117" t="inlineStr">
        <is>
          <t>SURAHAMMAR</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2867-2024</t>
        </is>
      </c>
      <c r="B118" t="inlineStr">
        <is>
          <t>avverkningsanmälan</t>
        </is>
      </c>
      <c r="C118" t="inlineStr">
        <is>
          <t>Föryngringsavverkning</t>
        </is>
      </c>
      <c r="D118" s="1" t="n">
        <v>45315</v>
      </c>
      <c r="E118" s="1" t="n">
        <v>46260</v>
      </c>
      <c r="F118" t="inlineStr">
        <is>
          <t>VÄSTMANLANDS LÄN</t>
        </is>
      </c>
      <c r="G118" t="inlineStr">
        <is>
          <t>SURAHAMMAR</t>
        </is>
      </c>
      <c r="H118" t="inlineStr">
        <is>
          <t>Bergvik skog väst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49058-2024</t>
        </is>
      </c>
      <c r="B119" t="inlineStr">
        <is>
          <t>avverkningsanmälan</t>
        </is>
      </c>
      <c r="C119" t="inlineStr">
        <is>
          <t>Föryngringsavverkning</t>
        </is>
      </c>
      <c r="D119" s="1" t="n">
        <v>45594</v>
      </c>
      <c r="E119" s="1" t="n">
        <v>46260</v>
      </c>
      <c r="F119" t="inlineStr">
        <is>
          <t>VÄSTMANLANDS LÄN</t>
        </is>
      </c>
      <c r="G119" t="inlineStr">
        <is>
          <t>SURAHAMMAR</t>
        </is>
      </c>
      <c r="H119" t="inlineStr">
        <is>
          <t>Sveaskog</t>
        </is>
      </c>
      <c r="I119" t="n">
        <v>11.4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3085-2023</t>
        </is>
      </c>
      <c r="B120" t="inlineStr">
        <is>
          <t>avverkningsanmälan</t>
        </is>
      </c>
      <c r="C120" t="inlineStr">
        <is>
          <t>Föryngringsavverkning</t>
        </is>
      </c>
      <c r="D120" s="1" t="n">
        <v>44946</v>
      </c>
      <c r="E120" s="1" t="n">
        <v>46260</v>
      </c>
      <c r="F120" t="inlineStr">
        <is>
          <t>VÄSTMANLANDS LÄN</t>
        </is>
      </c>
      <c r="G120" t="inlineStr">
        <is>
          <t>SURAHAMMAR</t>
        </is>
      </c>
      <c r="H120" t="inlineStr">
        <is>
          <t>Kyrkan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20535-2026</t>
        </is>
      </c>
      <c r="B121" t="inlineStr">
        <is>
          <t>avverkningsanmälan</t>
        </is>
      </c>
      <c r="C121" t="inlineStr">
        <is>
          <t>Avverkning för annat ändamål</t>
        </is>
      </c>
      <c r="D121" s="1" t="n">
        <v>46140</v>
      </c>
      <c r="E121" s="1" t="n">
        <v>46260</v>
      </c>
      <c r="F121" t="inlineStr">
        <is>
          <t>VÄSTMANLANDS LÄN</t>
        </is>
      </c>
      <c r="G121" t="inlineStr">
        <is>
          <t>SURAHAMMAR</t>
        </is>
      </c>
      <c r="H121" t="inlineStr">
        <is>
          <t>Bergvik skog väst AB</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20904-2023</t>
        </is>
      </c>
      <c r="B122" t="inlineStr">
        <is>
          <t>avverkningsanmälan</t>
        </is>
      </c>
      <c r="C122" t="inlineStr">
        <is>
          <t>Avverkning för att bevara och utveckla /försöksver</t>
        </is>
      </c>
      <c r="D122" s="1" t="n">
        <v>45060</v>
      </c>
      <c r="E122" s="1" t="n">
        <v>46260</v>
      </c>
      <c r="F122" t="inlineStr">
        <is>
          <t>VÄSTMANLANDS LÄN</t>
        </is>
      </c>
      <c r="G122" t="inlineStr">
        <is>
          <t>SURAHAMMAR</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2660-2024</t>
        </is>
      </c>
      <c r="B123" t="inlineStr">
        <is>
          <t>avverkningsanmälan</t>
        </is>
      </c>
      <c r="C123" t="inlineStr">
        <is>
          <t>Föryngringsavverkning</t>
        </is>
      </c>
      <c r="D123" s="1" t="n">
        <v>45310</v>
      </c>
      <c r="E123" s="1" t="n">
        <v>46260</v>
      </c>
      <c r="F123" t="inlineStr">
        <is>
          <t>VÄSTMANLANDS LÄN</t>
        </is>
      </c>
      <c r="G123" t="inlineStr">
        <is>
          <t>SURAHAMMAR</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24201-2026</t>
        </is>
      </c>
      <c r="B124" t="inlineStr">
        <is>
          <t>avverkningsanmälan</t>
        </is>
      </c>
      <c r="C124" t="inlineStr">
        <is>
          <t>Föryngringsavverkning</t>
        </is>
      </c>
      <c r="D124" s="1" t="n">
        <v>46168</v>
      </c>
      <c r="E124" s="1" t="n">
        <v>46260</v>
      </c>
      <c r="F124" t="inlineStr">
        <is>
          <t>VÄSTMANLANDS LÄN</t>
        </is>
      </c>
      <c r="G124" t="inlineStr">
        <is>
          <t>SURAHAMMAR</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14626-2023</t>
        </is>
      </c>
      <c r="B125" t="inlineStr">
        <is>
          <t>avverkningsanmälan</t>
        </is>
      </c>
      <c r="C125" t="inlineStr">
        <is>
          <t>Föryngringsavverkning</t>
        </is>
      </c>
      <c r="D125" s="1" t="n">
        <v>45012</v>
      </c>
      <c r="E125" s="1" t="n">
        <v>46260</v>
      </c>
      <c r="F125" t="inlineStr">
        <is>
          <t>VÄSTMANLANDS LÄN</t>
        </is>
      </c>
      <c r="G125" t="inlineStr">
        <is>
          <t>SURAHAMMAR</t>
        </is>
      </c>
      <c r="H125" t="inlineStr">
        <is>
          <t>Bergvik skog väst AB</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37954-2025</t>
        </is>
      </c>
      <c r="B126" t="inlineStr">
        <is>
          <t>avverkningsanmälan</t>
        </is>
      </c>
      <c r="C126" t="inlineStr">
        <is>
          <t>Föryngringsavverkning</t>
        </is>
      </c>
      <c r="D126" s="1" t="n">
        <v>45881</v>
      </c>
      <c r="E126" s="1" t="n">
        <v>46260</v>
      </c>
      <c r="F126" t="inlineStr">
        <is>
          <t>VÄSTMANLANDS LÄN</t>
        </is>
      </c>
      <c r="G126" t="inlineStr">
        <is>
          <t>SURAHAMMAR</t>
        </is>
      </c>
      <c r="I126" t="n">
        <v>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32223-2026</t>
        </is>
      </c>
      <c r="B127" t="inlineStr">
        <is>
          <t>avverkningsanmälan</t>
        </is>
      </c>
      <c r="C127" t="inlineStr">
        <is>
          <t>Föryngringsavverkning</t>
        </is>
      </c>
      <c r="D127" s="1" t="n">
        <v>46237</v>
      </c>
      <c r="E127" s="1" t="n">
        <v>46260</v>
      </c>
      <c r="F127" t="inlineStr">
        <is>
          <t>VÄSTMANLANDS LÄN</t>
        </is>
      </c>
      <c r="G127" t="inlineStr">
        <is>
          <t>SURAHAMMAR</t>
        </is>
      </c>
      <c r="H127" t="inlineStr">
        <is>
          <t>Allmännings- och besparingsskogar</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32501-2026</t>
        </is>
      </c>
      <c r="B128" t="inlineStr">
        <is>
          <t>avverkningsanmälan</t>
        </is>
      </c>
      <c r="C128" t="inlineStr">
        <is>
          <t>Avverkning för annat ändamål</t>
        </is>
      </c>
      <c r="D128" s="1" t="n">
        <v>46239</v>
      </c>
      <c r="E128" s="1" t="n">
        <v>46260</v>
      </c>
      <c r="F128" t="inlineStr">
        <is>
          <t>VÄSTMANLANDS LÄN</t>
        </is>
      </c>
      <c r="G128" t="inlineStr">
        <is>
          <t>SURAHAMMAR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46260</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22628-2026</t>
        </is>
      </c>
      <c r="B130" t="inlineStr">
        <is>
          <t>avverkningsanmälan</t>
        </is>
      </c>
      <c r="C130" t="inlineStr">
        <is>
          <t>Föryngringsavverkning</t>
        </is>
      </c>
      <c r="D130" s="1" t="n">
        <v>46155</v>
      </c>
      <c r="E130" s="1" t="n">
        <v>46260</v>
      </c>
      <c r="F130" t="inlineStr">
        <is>
          <t>VÄSTMANLANDS LÄN</t>
        </is>
      </c>
      <c r="G130" t="inlineStr">
        <is>
          <t>SURAHAMMAR</t>
        </is>
      </c>
      <c r="H130" t="inlineStr">
        <is>
          <t>Sveaskog</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19782-2023</t>
        </is>
      </c>
      <c r="B131" t="inlineStr">
        <is>
          <t>avverkningsanmälan</t>
        </is>
      </c>
      <c r="C131" t="inlineStr">
        <is>
          <t>Föryngringsavverkning</t>
        </is>
      </c>
      <c r="D131" s="1" t="n">
        <v>45050</v>
      </c>
      <c r="E131" s="1" t="n">
        <v>46260</v>
      </c>
      <c r="F131" t="inlineStr">
        <is>
          <t>VÄSTMANLANDS LÄN</t>
        </is>
      </c>
      <c r="G131" t="inlineStr">
        <is>
          <t>SURAHAMMAR</t>
        </is>
      </c>
      <c r="H131" t="inlineStr">
        <is>
          <t>Bergvik skog väst AB</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7848-2022</t>
        </is>
      </c>
      <c r="B132" t="inlineStr">
        <is>
          <t>avverkningsanmälan</t>
        </is>
      </c>
      <c r="C132" t="inlineStr">
        <is>
          <t>Föryngringsavverkning</t>
        </is>
      </c>
      <c r="D132" s="1" t="n">
        <v>44608</v>
      </c>
      <c r="E132" s="1" t="n">
        <v>46260</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56378-2023</t>
        </is>
      </c>
      <c r="B133" t="inlineStr">
        <is>
          <t>avverkningsanmälan</t>
        </is>
      </c>
      <c r="C133" t="inlineStr">
        <is>
          <t>Föryngringsavverkning</t>
        </is>
      </c>
      <c r="D133" s="1" t="n">
        <v>45236</v>
      </c>
      <c r="E133" s="1" t="n">
        <v>46260</v>
      </c>
      <c r="F133" t="inlineStr">
        <is>
          <t>VÄSTMANLANDS LÄN</t>
        </is>
      </c>
      <c r="G133" t="inlineStr">
        <is>
          <t>SURAHAMMAR</t>
        </is>
      </c>
      <c r="H133" t="inlineStr">
        <is>
          <t>Bergvik skog väst AB</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19099-2022</t>
        </is>
      </c>
      <c r="B134" t="inlineStr">
        <is>
          <t>avverkningsanmälan</t>
        </is>
      </c>
      <c r="C134" t="inlineStr">
        <is>
          <t>Föryngringsavverkning</t>
        </is>
      </c>
      <c r="D134" s="1" t="n">
        <v>44691</v>
      </c>
      <c r="E134" s="1" t="n">
        <v>46260</v>
      </c>
      <c r="F134" t="inlineStr">
        <is>
          <t>VÄSTMANLANDS LÄN</t>
        </is>
      </c>
      <c r="G134" t="inlineStr">
        <is>
          <t>SURAHAMMAR</t>
        </is>
      </c>
      <c r="H134" t="inlineStr">
        <is>
          <t>Övriga Aktiebolag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33933-2026</t>
        </is>
      </c>
      <c r="B135" t="inlineStr">
        <is>
          <t>avverkningsanmälan</t>
        </is>
      </c>
      <c r="C135" t="inlineStr">
        <is>
          <t>Föryngringsavverkning</t>
        </is>
      </c>
      <c r="D135" s="1" t="n">
        <v>46248</v>
      </c>
      <c r="E135" s="1" t="n">
        <v>46260</v>
      </c>
      <c r="F135" t="inlineStr">
        <is>
          <t>VÄSTMANLANDS LÄN</t>
        </is>
      </c>
      <c r="G135" t="inlineStr">
        <is>
          <t>SURAHAMMAR</t>
        </is>
      </c>
      <c r="H135" t="inlineStr">
        <is>
          <t>Bergvik skog väst AB</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3818-2022</t>
        </is>
      </c>
      <c r="B136" t="inlineStr">
        <is>
          <t>avverkningsanmälan</t>
        </is>
      </c>
      <c r="C136" t="inlineStr">
        <is>
          <t>Föryngringsavverkning</t>
        </is>
      </c>
      <c r="D136" s="1" t="n">
        <v>44587</v>
      </c>
      <c r="E136" s="1" t="n">
        <v>46260</v>
      </c>
      <c r="F136" t="inlineStr">
        <is>
          <t>VÄSTMANLANDS LÄN</t>
        </is>
      </c>
      <c r="G136" t="inlineStr">
        <is>
          <t>SURAHAMMAR</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31061-2026</t>
        </is>
      </c>
      <c r="B137" t="inlineStr">
        <is>
          <t>avverkningsanmälan</t>
        </is>
      </c>
      <c r="C137" t="inlineStr">
        <is>
          <t>Föryngringsavverkning</t>
        </is>
      </c>
      <c r="D137" s="1" t="n">
        <v>46215</v>
      </c>
      <c r="E137" s="1" t="n">
        <v>46260</v>
      </c>
      <c r="F137" t="inlineStr">
        <is>
          <t>VÄSTMANLANDS LÄN</t>
        </is>
      </c>
      <c r="G137" t="inlineStr">
        <is>
          <t>SURAHAMMAR</t>
        </is>
      </c>
      <c r="H137" t="inlineStr">
        <is>
          <t>Sveaskog</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21509-2024</t>
        </is>
      </c>
      <c r="B138" t="inlineStr">
        <is>
          <t>avverkningsanmälan</t>
        </is>
      </c>
      <c r="C138" t="inlineStr">
        <is>
          <t>Föryngringsavverkning</t>
        </is>
      </c>
      <c r="D138" s="1" t="n">
        <v>45441</v>
      </c>
      <c r="E138" s="1" t="n">
        <v>46260</v>
      </c>
      <c r="F138" t="inlineStr">
        <is>
          <t>VÄSTMANLANDS LÄN</t>
        </is>
      </c>
      <c r="G138" t="inlineStr">
        <is>
          <t>SURAHAMMAR</t>
        </is>
      </c>
      <c r="H138" t="inlineStr">
        <is>
          <t>Bergvik skog väst AB</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22662-2023</t>
        </is>
      </c>
      <c r="B139" t="inlineStr">
        <is>
          <t>avverkningsanmälan</t>
        </is>
      </c>
      <c r="C139" t="inlineStr">
        <is>
          <t>Avverkning för att bevara och utveckla /försöksver</t>
        </is>
      </c>
      <c r="D139" s="1" t="n">
        <v>45071</v>
      </c>
      <c r="E139" s="1" t="n">
        <v>46260</v>
      </c>
      <c r="F139" t="inlineStr">
        <is>
          <t>VÄSTMANLANDS LÄN</t>
        </is>
      </c>
      <c r="G139" t="inlineStr">
        <is>
          <t>SURAHAMMAR</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25780-2023</t>
        </is>
      </c>
      <c r="B140" t="inlineStr">
        <is>
          <t>avverkningsanmälan</t>
        </is>
      </c>
      <c r="C140" t="inlineStr">
        <is>
          <t>Föryngringsavverkning</t>
        </is>
      </c>
      <c r="D140" s="1" t="n">
        <v>45090</v>
      </c>
      <c r="E140" s="1" t="n">
        <v>46260</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15739-2023</t>
        </is>
      </c>
      <c r="B141" t="inlineStr">
        <is>
          <t>avverkningsanmälan</t>
        </is>
      </c>
      <c r="C141" t="inlineStr">
        <is>
          <t>Föryngringsavverkning</t>
        </is>
      </c>
      <c r="D141" s="1" t="n">
        <v>45021</v>
      </c>
      <c r="E141" s="1" t="n">
        <v>46260</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3543-2022</t>
        </is>
      </c>
      <c r="B142" t="inlineStr">
        <is>
          <t>samrådsanmälan</t>
        </is>
      </c>
      <c r="C142" t="inlineStr">
        <is>
          <t>Skogsbilväg</t>
        </is>
      </c>
      <c r="D142" s="1" t="n">
        <v>44734</v>
      </c>
      <c r="E142" s="1" t="n">
        <v>46260</v>
      </c>
      <c r="F142" t="inlineStr">
        <is>
          <t>VÄSTMANLANDS LÄN</t>
        </is>
      </c>
      <c r="G142" t="inlineStr">
        <is>
          <t>SURAHAMMAR</t>
        </is>
      </c>
      <c r="H142" t="inlineStr">
        <is>
          <t>Bergvik skog väst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3542-2022</t>
        </is>
      </c>
      <c r="B143" t="inlineStr">
        <is>
          <t>samrådsanmälan</t>
        </is>
      </c>
      <c r="C143" t="inlineStr">
        <is>
          <t>Skogsbilväg</t>
        </is>
      </c>
      <c r="D143" s="1" t="n">
        <v>44734</v>
      </c>
      <c r="E143" s="1" t="n">
        <v>46260</v>
      </c>
      <c r="F143" t="inlineStr">
        <is>
          <t>VÄSTMANLANDS LÄN</t>
        </is>
      </c>
      <c r="G143" t="inlineStr">
        <is>
          <t>SURAHAMMAR</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c r="A144" t="inlineStr">
        <is>
          <t>S 2172-2026</t>
        </is>
      </c>
      <c r="B144" t="inlineStr">
        <is>
          <t>samrådsanmälan</t>
        </is>
      </c>
      <c r="C144" t="inlineStr">
        <is>
          <t>Annan skogsbruksåtgärd</t>
        </is>
      </c>
      <c r="D144" s="1" t="n">
        <v>46251</v>
      </c>
      <c r="E144" s="1" t="n">
        <v>46260</v>
      </c>
      <c r="F144" t="inlineStr">
        <is>
          <t>VÄSTMANLANDS LÄN</t>
        </is>
      </c>
      <c r="G144" t="inlineStr">
        <is>
          <t>SURAHAMMAR</t>
        </is>
      </c>
      <c r="I144" t="n">
        <v>0.4</v>
      </c>
      <c r="J144" t="n">
        <v>0</v>
      </c>
      <c r="K144" t="n">
        <v>0</v>
      </c>
      <c r="L144" t="n">
        <v>0</v>
      </c>
      <c r="M144" t="n">
        <v>0</v>
      </c>
      <c r="N144" t="n">
        <v>0</v>
      </c>
      <c r="O144" t="n">
        <v>0</v>
      </c>
      <c r="P144" t="n">
        <v>0</v>
      </c>
      <c r="Q144" t="n">
        <v>0</v>
      </c>
      <c r="R144" t="n">
        <v>0</v>
      </c>
      <c r="S144" t="n">
        <v>0</v>
      </c>
      <c r="T144" t="n">
        <v>0</v>
      </c>
      <c r="U144" t="n">
        <v>0</v>
      </c>
      <c r="V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2026-08-26T01:51:49Z</dcterms:created>
  <dcterms:modified xmlns:dcterms="http://purl.org/dc/terms/" xmlns:xsi="http://www.w3.org/2001/XMLSchema-instance" xsi:type="dcterms:W3CDTF">2026-08-26T01:51:49Z</dcterms:modified>
</cp:coreProperties>
</file>