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46162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46162</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46162</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46162</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46162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46162</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46162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46162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46162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46162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46162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46162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46162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46162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46162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46162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46162</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46162</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46162</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46162</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46162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46162</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46162</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46162</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42853-2022</t>
        </is>
      </c>
      <c r="B26" s="1" t="n">
        <v>44832</v>
      </c>
      <c r="C26" s="1" t="n">
        <v>46162</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46162</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46162</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46162</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46162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46162</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46162</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46162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46162</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46162</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46162</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46162</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46162</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29707-2025</t>
        </is>
      </c>
      <c r="B39" s="1" t="n">
        <v>45825.56100694444</v>
      </c>
      <c r="C39" s="1" t="n">
        <v>46162</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46162</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46162</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46162</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46162</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46162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46162</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46162</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46162</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46162</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46162</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46162</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46162</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46162</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46162</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14001-2023</t>
        </is>
      </c>
      <c r="B54" s="1" t="n">
        <v>45007</v>
      </c>
      <c r="C54" s="1" t="n">
        <v>46162</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69777-2021</t>
        </is>
      </c>
      <c r="B55" s="1" t="n">
        <v>44532</v>
      </c>
      <c r="C55" s="1" t="n">
        <v>46162</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47453-2024</t>
        </is>
      </c>
      <c r="B56" s="1" t="n">
        <v>45587.55017361111</v>
      </c>
      <c r="C56" s="1" t="n">
        <v>46162</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46162</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10819-2024</t>
        </is>
      </c>
      <c r="B58" s="1" t="n">
        <v>45369.66049768519</v>
      </c>
      <c r="C58" s="1" t="n">
        <v>46162</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42089-2025</t>
        </is>
      </c>
      <c r="B59" s="1" t="n">
        <v>45902</v>
      </c>
      <c r="C59" s="1" t="n">
        <v>46162</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46162</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46162</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46162</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46162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46162</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55871-2025</t>
        </is>
      </c>
      <c r="B65" s="1" t="n">
        <v>45973.35452546296</v>
      </c>
      <c r="C65" s="1" t="n">
        <v>46162</v>
      </c>
      <c r="D65" t="inlineStr">
        <is>
          <t>VÄSTMANLANDS LÄN</t>
        </is>
      </c>
      <c r="E65" t="inlineStr">
        <is>
          <t>SURAHAMMAR</t>
        </is>
      </c>
      <c r="F65" t="inlineStr">
        <is>
          <t>Sveaskog</t>
        </is>
      </c>
      <c r="G65" t="n">
        <v>1.4</v>
      </c>
      <c r="H65" t="n">
        <v>1</v>
      </c>
      <c r="I65" t="n">
        <v>0</v>
      </c>
      <c r="J65" t="n">
        <v>0</v>
      </c>
      <c r="K65" t="n">
        <v>0</v>
      </c>
      <c r="L65" t="n">
        <v>0</v>
      </c>
      <c r="M65" t="n">
        <v>0</v>
      </c>
      <c r="N65" t="n">
        <v>0</v>
      </c>
      <c r="O65" t="n">
        <v>0</v>
      </c>
      <c r="P65" t="n">
        <v>0</v>
      </c>
      <c r="Q65" t="n">
        <v>1</v>
      </c>
      <c r="R65" s="2" t="inlineStr">
        <is>
          <t>Lopplummer (aggregat)</t>
        </is>
      </c>
      <c r="S65">
        <f>HYPERLINK("https://klasma.github.io/Logging_1907/artfynd/A 55871-2025 artfynd.xlsx", "A 55871-2025")</f>
        <v/>
      </c>
      <c r="T65">
        <f>HYPERLINK("https://klasma.github.io/Logging_1907/kartor/A 55871-2025 karta.png", "A 55871-2025")</f>
        <v/>
      </c>
      <c r="V65">
        <f>HYPERLINK("https://klasma.github.io/Logging_1907/klagomål/A 55871-2025 FSC-klagomål.docx", "A 55871-2025")</f>
        <v/>
      </c>
      <c r="W65">
        <f>HYPERLINK("https://klasma.github.io/Logging_1907/klagomålsmail/A 55871-2025 FSC-klagomål mail.docx", "A 55871-2025")</f>
        <v/>
      </c>
      <c r="X65">
        <f>HYPERLINK("https://klasma.github.io/Logging_1907/tillsyn/A 55871-2025 tillsynsbegäran.docx", "A 55871-2025")</f>
        <v/>
      </c>
      <c r="Y65">
        <f>HYPERLINK("https://klasma.github.io/Logging_1907/tillsynsmail/A 55871-2025 tillsynsbegäran mail.docx", "A 55871-2025")</f>
        <v/>
      </c>
    </row>
    <row r="66" ht="15" customHeight="1">
      <c r="A66" t="inlineStr">
        <is>
          <t>A 56768-2025</t>
        </is>
      </c>
      <c r="B66" s="1" t="n">
        <v>45978</v>
      </c>
      <c r="C66" s="1" t="n">
        <v>46162</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25583-2024</t>
        </is>
      </c>
      <c r="B67" s="1" t="n">
        <v>45463</v>
      </c>
      <c r="C67" s="1" t="n">
        <v>46162</v>
      </c>
      <c r="D67" t="inlineStr">
        <is>
          <t>VÄSTMANLANDS LÄN</t>
        </is>
      </c>
      <c r="E67" t="inlineStr">
        <is>
          <t>SURAHAMMAR</t>
        </is>
      </c>
      <c r="F67" t="inlineStr">
        <is>
          <t>Bergvik skog väst AB</t>
        </is>
      </c>
      <c r="G67" t="n">
        <v>7.8</v>
      </c>
      <c r="H67" t="n">
        <v>1</v>
      </c>
      <c r="I67" t="n">
        <v>0</v>
      </c>
      <c r="J67" t="n">
        <v>0</v>
      </c>
      <c r="K67" t="n">
        <v>0</v>
      </c>
      <c r="L67" t="n">
        <v>0</v>
      </c>
      <c r="M67" t="n">
        <v>0</v>
      </c>
      <c r="N67" t="n">
        <v>0</v>
      </c>
      <c r="O67" t="n">
        <v>0</v>
      </c>
      <c r="P67" t="n">
        <v>0</v>
      </c>
      <c r="Q67" t="n">
        <v>1</v>
      </c>
      <c r="R67" s="2" t="inlineStr">
        <is>
          <t>Blåsippa</t>
        </is>
      </c>
      <c r="S67">
        <f>HYPERLINK("https://klasma.github.io/Logging_1907/artfynd/A 25583-2024 artfynd.xlsx", "A 25583-2024")</f>
        <v/>
      </c>
      <c r="T67">
        <f>HYPERLINK("https://klasma.github.io/Logging_1907/kartor/A 25583-2024 karta.png", "A 25583-2024")</f>
        <v/>
      </c>
      <c r="V67">
        <f>HYPERLINK("https://klasma.github.io/Logging_1907/klagomål/A 25583-2024 FSC-klagomål.docx", "A 25583-2024")</f>
        <v/>
      </c>
      <c r="W67">
        <f>HYPERLINK("https://klasma.github.io/Logging_1907/klagomålsmail/A 25583-2024 FSC-klagomål mail.docx", "A 25583-2024")</f>
        <v/>
      </c>
      <c r="X67">
        <f>HYPERLINK("https://klasma.github.io/Logging_1907/tillsyn/A 25583-2024 tillsynsbegäran.docx", "A 25583-2024")</f>
        <v/>
      </c>
      <c r="Y67">
        <f>HYPERLINK("https://klasma.github.io/Logging_1907/tillsynsmail/A 25583-2024 tillsynsbegäran mail.docx", "A 25583-2024")</f>
        <v/>
      </c>
    </row>
    <row r="68" ht="15" customHeight="1">
      <c r="A68" t="inlineStr">
        <is>
          <t>A 13971-2023</t>
        </is>
      </c>
      <c r="B68" s="1" t="n">
        <v>45007</v>
      </c>
      <c r="C68" s="1" t="n">
        <v>46162</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63145-2025</t>
        </is>
      </c>
      <c r="B69" s="1" t="n">
        <v>46009</v>
      </c>
      <c r="C69" s="1" t="n">
        <v>46162</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42765-2022</t>
        </is>
      </c>
      <c r="B70" s="1" t="n">
        <v>44832</v>
      </c>
      <c r="C70" s="1" t="n">
        <v>46162</v>
      </c>
      <c r="D70" t="inlineStr">
        <is>
          <t>VÄSTMANLANDS LÄN</t>
        </is>
      </c>
      <c r="E70" t="inlineStr">
        <is>
          <t>SURAHAMMAR</t>
        </is>
      </c>
      <c r="G70" t="n">
        <v>1.8</v>
      </c>
      <c r="H70" t="n">
        <v>1</v>
      </c>
      <c r="I70" t="n">
        <v>0</v>
      </c>
      <c r="J70" t="n">
        <v>0</v>
      </c>
      <c r="K70" t="n">
        <v>0</v>
      </c>
      <c r="L70" t="n">
        <v>0</v>
      </c>
      <c r="M70" t="n">
        <v>0</v>
      </c>
      <c r="N70" t="n">
        <v>0</v>
      </c>
      <c r="O70" t="n">
        <v>0</v>
      </c>
      <c r="P70" t="n">
        <v>0</v>
      </c>
      <c r="Q70" t="n">
        <v>1</v>
      </c>
      <c r="R70" s="2" t="inlineStr">
        <is>
          <t>Blåsippa</t>
        </is>
      </c>
      <c r="S70">
        <f>HYPERLINK("https://klasma.github.io/Logging_1907/artfynd/A 42765-2022 artfynd.xlsx", "A 42765-2022")</f>
        <v/>
      </c>
      <c r="T70">
        <f>HYPERLINK("https://klasma.github.io/Logging_1907/kartor/A 42765-2022 karta.png", "A 42765-2022")</f>
        <v/>
      </c>
      <c r="V70">
        <f>HYPERLINK("https://klasma.github.io/Logging_1907/klagomål/A 42765-2022 FSC-klagomål.docx", "A 42765-2022")</f>
        <v/>
      </c>
      <c r="W70">
        <f>HYPERLINK("https://klasma.github.io/Logging_1907/klagomålsmail/A 42765-2022 FSC-klagomål mail.docx", "A 42765-2022")</f>
        <v/>
      </c>
      <c r="X70">
        <f>HYPERLINK("https://klasma.github.io/Logging_1907/tillsyn/A 42765-2022 tillsynsbegäran.docx", "A 42765-2022")</f>
        <v/>
      </c>
      <c r="Y70">
        <f>HYPERLINK("https://klasma.github.io/Logging_1907/tillsynsmail/A 42765-2022 tillsynsbegäran mail.docx", "A 42765-2022")</f>
        <v/>
      </c>
    </row>
    <row r="71" ht="15" customHeight="1">
      <c r="A71" t="inlineStr">
        <is>
          <t>A 44356-2024</t>
        </is>
      </c>
      <c r="B71" s="1" t="n">
        <v>45573</v>
      </c>
      <c r="C71" s="1" t="n">
        <v>46162</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17632-2022</t>
        </is>
      </c>
      <c r="B72" s="1" t="n">
        <v>44680</v>
      </c>
      <c r="C72" s="1" t="n">
        <v>46162</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46162</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46162</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46162</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34584-2025</t>
        </is>
      </c>
      <c r="B76" s="1" t="n">
        <v>45846</v>
      </c>
      <c r="C76" s="1" t="n">
        <v>46162</v>
      </c>
      <c r="D76" t="inlineStr">
        <is>
          <t>VÄSTMANLANDS LÄN</t>
        </is>
      </c>
      <c r="E76" t="inlineStr">
        <is>
          <t>SURAHAMMAR</t>
        </is>
      </c>
      <c r="F76" t="inlineStr">
        <is>
          <t>Bergvik skog väst AB</t>
        </is>
      </c>
      <c r="G76" t="n">
        <v>2.7</v>
      </c>
      <c r="H76" t="n">
        <v>1</v>
      </c>
      <c r="I76" t="n">
        <v>0</v>
      </c>
      <c r="J76" t="n">
        <v>0</v>
      </c>
      <c r="K76" t="n">
        <v>0</v>
      </c>
      <c r="L76" t="n">
        <v>0</v>
      </c>
      <c r="M76" t="n">
        <v>0</v>
      </c>
      <c r="N76" t="n">
        <v>0</v>
      </c>
      <c r="O76" t="n">
        <v>0</v>
      </c>
      <c r="P76" t="n">
        <v>0</v>
      </c>
      <c r="Q76" t="n">
        <v>1</v>
      </c>
      <c r="R76" s="2" t="inlineStr">
        <is>
          <t>Tjäder</t>
        </is>
      </c>
      <c r="S76">
        <f>HYPERLINK("https://klasma.github.io/Logging_1907/artfynd/A 34584-2025 artfynd.xlsx", "A 34584-2025")</f>
        <v/>
      </c>
      <c r="T76">
        <f>HYPERLINK("https://klasma.github.io/Logging_1907/kartor/A 34584-2025 karta.png", "A 34584-2025")</f>
        <v/>
      </c>
      <c r="V76">
        <f>HYPERLINK("https://klasma.github.io/Logging_1907/klagomål/A 34584-2025 FSC-klagomål.docx", "A 34584-2025")</f>
        <v/>
      </c>
      <c r="W76">
        <f>HYPERLINK("https://klasma.github.io/Logging_1907/klagomålsmail/A 34584-2025 FSC-klagomål mail.docx", "A 34584-2025")</f>
        <v/>
      </c>
      <c r="X76">
        <f>HYPERLINK("https://klasma.github.io/Logging_1907/tillsyn/A 34584-2025 tillsynsbegäran.docx", "A 34584-2025")</f>
        <v/>
      </c>
      <c r="Y76">
        <f>HYPERLINK("https://klasma.github.io/Logging_1907/tillsynsmail/A 34584-2025 tillsynsbegäran mail.docx", "A 34584-2025")</f>
        <v/>
      </c>
      <c r="Z76">
        <f>HYPERLINK("https://klasma.github.io/Logging_1907/fåglar/A 34584-2025 prioriterade fågelarter.docx", "A 34584-2025")</f>
        <v/>
      </c>
    </row>
    <row r="77" ht="15" customHeight="1">
      <c r="A77" t="inlineStr">
        <is>
          <t>A 64073-2021</t>
        </is>
      </c>
      <c r="B77" s="1" t="n">
        <v>44509</v>
      </c>
      <c r="C77" s="1" t="n">
        <v>46162</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46162</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46162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19845-2022</t>
        </is>
      </c>
      <c r="B80" s="1" t="n">
        <v>44696.88850694444</v>
      </c>
      <c r="C80" s="1" t="n">
        <v>46162</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46162</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46162</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46162</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46162</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46162</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46162</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46162</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46162</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46162</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46162</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46162</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46162</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46162</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46162</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46162</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46162</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46162</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46162</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19782-2023</t>
        </is>
      </c>
      <c r="B99" s="1" t="n">
        <v>45050</v>
      </c>
      <c r="C99" s="1" t="n">
        <v>46162</v>
      </c>
      <c r="D99" t="inlineStr">
        <is>
          <t>VÄSTMANLANDS LÄN</t>
        </is>
      </c>
      <c r="E99" t="inlineStr">
        <is>
          <t>SURAHAMMAR</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14626-2023</t>
        </is>
      </c>
      <c r="B100" s="1" t="n">
        <v>45012</v>
      </c>
      <c r="C100" s="1" t="n">
        <v>46162</v>
      </c>
      <c r="D100" t="inlineStr">
        <is>
          <t>VÄSTMANLANDS LÄN</t>
        </is>
      </c>
      <c r="E100" t="inlineStr">
        <is>
          <t>SURAHAMMAR</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22628-2026</t>
        </is>
      </c>
      <c r="B101" s="1" t="n">
        <v>46155.6371875</v>
      </c>
      <c r="C101" s="1" t="n">
        <v>46162</v>
      </c>
      <c r="D101" t="inlineStr">
        <is>
          <t>VÄSTMANLANDS LÄN</t>
        </is>
      </c>
      <c r="E101" t="inlineStr">
        <is>
          <t>SURAHAMMAR</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46162</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46162</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37013-2025</t>
        </is>
      </c>
      <c r="B104" s="1" t="n">
        <v>45874</v>
      </c>
      <c r="C104" s="1" t="n">
        <v>46162</v>
      </c>
      <c r="D104" t="inlineStr">
        <is>
          <t>VÄSTMANLANDS LÄN</t>
        </is>
      </c>
      <c r="E104" t="inlineStr">
        <is>
          <t>SURAHAMMAR</t>
        </is>
      </c>
      <c r="F104" t="inlineStr">
        <is>
          <t>Bergvik skog väst AB</t>
        </is>
      </c>
      <c r="G104" t="n">
        <v>10.7</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46162</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22630-2026</t>
        </is>
      </c>
      <c r="B106" s="1" t="n">
        <v>46155.63839120371</v>
      </c>
      <c r="C106" s="1" t="n">
        <v>46162</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37954-2025</t>
        </is>
      </c>
      <c r="B107" s="1" t="n">
        <v>45881</v>
      </c>
      <c r="C107" s="1" t="n">
        <v>46162</v>
      </c>
      <c r="D107" t="inlineStr">
        <is>
          <t>VÄSTMANLANDS LÄN</t>
        </is>
      </c>
      <c r="E107" t="inlineStr">
        <is>
          <t>SURAHAMMAR</t>
        </is>
      </c>
      <c r="G107" t="n">
        <v>9.5</v>
      </c>
      <c r="H107" t="n">
        <v>0</v>
      </c>
      <c r="I107" t="n">
        <v>0</v>
      </c>
      <c r="J107" t="n">
        <v>0</v>
      </c>
      <c r="K107" t="n">
        <v>0</v>
      </c>
      <c r="L107" t="n">
        <v>0</v>
      </c>
      <c r="M107" t="n">
        <v>0</v>
      </c>
      <c r="N107" t="n">
        <v>0</v>
      </c>
      <c r="O107" t="n">
        <v>0</v>
      </c>
      <c r="P107" t="n">
        <v>0</v>
      </c>
      <c r="Q107" t="n">
        <v>0</v>
      </c>
      <c r="R107" s="2" t="inlineStr"/>
    </row>
    <row r="108" ht="15" customHeight="1">
      <c r="A108" t="inlineStr">
        <is>
          <t>A 22626-2026</t>
        </is>
      </c>
      <c r="B108" s="1" t="n">
        <v>46155.63545138889</v>
      </c>
      <c r="C108" s="1" t="n">
        <v>46162</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46162</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46162</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16013-2023</t>
        </is>
      </c>
      <c r="B111" s="1" t="n">
        <v>45026</v>
      </c>
      <c r="C111" s="1" t="n">
        <v>46162</v>
      </c>
      <c r="D111" t="inlineStr">
        <is>
          <t>VÄSTMANLANDS LÄN</t>
        </is>
      </c>
      <c r="E111" t="inlineStr">
        <is>
          <t>SURAHAMMAR</t>
        </is>
      </c>
      <c r="G111" t="n">
        <v>3.9</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46162</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46162</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31107-2025</t>
        </is>
      </c>
      <c r="B114" s="1" t="n">
        <v>45831</v>
      </c>
      <c r="C114" s="1" t="n">
        <v>46162</v>
      </c>
      <c r="D114" t="inlineStr">
        <is>
          <t>VÄSTMANLANDS LÄN</t>
        </is>
      </c>
      <c r="E114" t="inlineStr">
        <is>
          <t>SURAHAMMAR</t>
        </is>
      </c>
      <c r="F114" t="inlineStr">
        <is>
          <t>Kommuner</t>
        </is>
      </c>
      <c r="G114" t="n">
        <v>1.7</v>
      </c>
      <c r="H114" t="n">
        <v>0</v>
      </c>
      <c r="I114" t="n">
        <v>0</v>
      </c>
      <c r="J114" t="n">
        <v>0</v>
      </c>
      <c r="K114" t="n">
        <v>0</v>
      </c>
      <c r="L114" t="n">
        <v>0</v>
      </c>
      <c r="M114" t="n">
        <v>0</v>
      </c>
      <c r="N114" t="n">
        <v>0</v>
      </c>
      <c r="O114" t="n">
        <v>0</v>
      </c>
      <c r="P114" t="n">
        <v>0</v>
      </c>
      <c r="Q114" t="n">
        <v>0</v>
      </c>
      <c r="R114" s="2" t="inlineStr"/>
    </row>
    <row r="115" ht="15" customHeight="1">
      <c r="A115" t="inlineStr">
        <is>
          <t>A 42829-2022</t>
        </is>
      </c>
      <c r="B115" s="1" t="n">
        <v>44832</v>
      </c>
      <c r="C115" s="1" t="n">
        <v>46162</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43249-2025</t>
        </is>
      </c>
      <c r="B116" s="1" t="n">
        <v>45910.55059027778</v>
      </c>
      <c r="C116" s="1" t="n">
        <v>46162</v>
      </c>
      <c r="D116" t="inlineStr">
        <is>
          <t>VÄSTMANLANDS LÄN</t>
        </is>
      </c>
      <c r="E116" t="inlineStr">
        <is>
          <t>SURAHAMMAR</t>
        </is>
      </c>
      <c r="G116" t="n">
        <v>1.9</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46162</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46162</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46162</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33931-2022</t>
        </is>
      </c>
      <c r="B120" s="1" t="n">
        <v>44790.65153935185</v>
      </c>
      <c r="C120" s="1" t="n">
        <v>46162</v>
      </c>
      <c r="D120" t="inlineStr">
        <is>
          <t>VÄSTMANLANDS LÄN</t>
        </is>
      </c>
      <c r="E120" t="inlineStr">
        <is>
          <t>SURAHAMMAR</t>
        </is>
      </c>
      <c r="G120" t="n">
        <v>2.2</v>
      </c>
      <c r="H120" t="n">
        <v>0</v>
      </c>
      <c r="I120" t="n">
        <v>0</v>
      </c>
      <c r="J120" t="n">
        <v>0</v>
      </c>
      <c r="K120" t="n">
        <v>0</v>
      </c>
      <c r="L120" t="n">
        <v>0</v>
      </c>
      <c r="M120" t="n">
        <v>0</v>
      </c>
      <c r="N120" t="n">
        <v>0</v>
      </c>
      <c r="O120" t="n">
        <v>0</v>
      </c>
      <c r="P120" t="n">
        <v>0</v>
      </c>
      <c r="Q120" t="n">
        <v>0</v>
      </c>
      <c r="R120" s="2" t="inlineStr"/>
    </row>
    <row r="121" ht="15" customHeight="1">
      <c r="A121" t="inlineStr">
        <is>
          <t>A 22662-2023</t>
        </is>
      </c>
      <c r="B121" s="1" t="n">
        <v>45071</v>
      </c>
      <c r="C121" s="1" t="n">
        <v>46162</v>
      </c>
      <c r="D121" t="inlineStr">
        <is>
          <t>VÄSTMANLANDS LÄN</t>
        </is>
      </c>
      <c r="E121" t="inlineStr">
        <is>
          <t>SURAHAMMAR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30076-2023</t>
        </is>
      </c>
      <c r="B122" s="1" t="n">
        <v>45110</v>
      </c>
      <c r="C122" s="1" t="n">
        <v>46162</v>
      </c>
      <c r="D122" t="inlineStr">
        <is>
          <t>VÄSTMANLANDS LÄN</t>
        </is>
      </c>
      <c r="E122" t="inlineStr">
        <is>
          <t>SURAHAMMAR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55868-2025</t>
        </is>
      </c>
      <c r="B123" s="1" t="n">
        <v>45973.35263888889</v>
      </c>
      <c r="C123" s="1" t="n">
        <v>46162</v>
      </c>
      <c r="D123" t="inlineStr">
        <is>
          <t>VÄSTMANLANDS LÄN</t>
        </is>
      </c>
      <c r="E123" t="inlineStr">
        <is>
          <t>SURAHAMMAR</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55874-2025</t>
        </is>
      </c>
      <c r="B124" s="1" t="n">
        <v>45973.3569212963</v>
      </c>
      <c r="C124" s="1" t="n">
        <v>46162</v>
      </c>
      <c r="D124" t="inlineStr">
        <is>
          <t>VÄSTMANLANDS LÄN</t>
        </is>
      </c>
      <c r="E124" t="inlineStr">
        <is>
          <t>SURAHAMMAR</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47785-2021</t>
        </is>
      </c>
      <c r="B125" s="1" t="n">
        <v>44448</v>
      </c>
      <c r="C125" s="1" t="n">
        <v>46162</v>
      </c>
      <c r="D125" t="inlineStr">
        <is>
          <t>VÄSTMANLANDS LÄN</t>
        </is>
      </c>
      <c r="E125" t="inlineStr">
        <is>
          <t>SURAHAMMAR</t>
        </is>
      </c>
      <c r="F125" t="inlineStr">
        <is>
          <t>Kommuner</t>
        </is>
      </c>
      <c r="G125" t="n">
        <v>3.3</v>
      </c>
      <c r="H125" t="n">
        <v>0</v>
      </c>
      <c r="I125" t="n">
        <v>0</v>
      </c>
      <c r="J125" t="n">
        <v>0</v>
      </c>
      <c r="K125" t="n">
        <v>0</v>
      </c>
      <c r="L125" t="n">
        <v>0</v>
      </c>
      <c r="M125" t="n">
        <v>0</v>
      </c>
      <c r="N125" t="n">
        <v>0</v>
      </c>
      <c r="O125" t="n">
        <v>0</v>
      </c>
      <c r="P125" t="n">
        <v>0</v>
      </c>
      <c r="Q125" t="n">
        <v>0</v>
      </c>
      <c r="R125" s="2" t="inlineStr"/>
    </row>
    <row r="126" ht="15" customHeight="1">
      <c r="A126" t="inlineStr">
        <is>
          <t>A 55873-2025</t>
        </is>
      </c>
      <c r="B126" s="1" t="n">
        <v>45973.35608796297</v>
      </c>
      <c r="C126" s="1" t="n">
        <v>46162</v>
      </c>
      <c r="D126" t="inlineStr">
        <is>
          <t>VÄSTMANLANDS LÄN</t>
        </is>
      </c>
      <c r="E126" t="inlineStr">
        <is>
          <t>SURAHAMMAR</t>
        </is>
      </c>
      <c r="F126" t="inlineStr">
        <is>
          <t>Sveaskog</t>
        </is>
      </c>
      <c r="G126" t="n">
        <v>0.5</v>
      </c>
      <c r="H126" t="n">
        <v>0</v>
      </c>
      <c r="I126" t="n">
        <v>0</v>
      </c>
      <c r="J126" t="n">
        <v>0</v>
      </c>
      <c r="K126" t="n">
        <v>0</v>
      </c>
      <c r="L126" t="n">
        <v>0</v>
      </c>
      <c r="M126" t="n">
        <v>0</v>
      </c>
      <c r="N126" t="n">
        <v>0</v>
      </c>
      <c r="O126" t="n">
        <v>0</v>
      </c>
      <c r="P126" t="n">
        <v>0</v>
      </c>
      <c r="Q126" t="n">
        <v>0</v>
      </c>
      <c r="R126" s="2" t="inlineStr"/>
    </row>
    <row r="127" ht="15" customHeight="1">
      <c r="A127" t="inlineStr">
        <is>
          <t>A 25450-2024</t>
        </is>
      </c>
      <c r="B127" s="1" t="n">
        <v>45463</v>
      </c>
      <c r="C127" s="1" t="n">
        <v>46162</v>
      </c>
      <c r="D127" t="inlineStr">
        <is>
          <t>VÄSTMANLANDS LÄN</t>
        </is>
      </c>
      <c r="E127" t="inlineStr">
        <is>
          <t>SURAHAMMAR</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46162</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10883-2023</t>
        </is>
      </c>
      <c r="B129" s="1" t="n">
        <v>44991</v>
      </c>
      <c r="C129" s="1" t="n">
        <v>46162</v>
      </c>
      <c r="D129" t="inlineStr">
        <is>
          <t>VÄSTMANLANDS LÄN</t>
        </is>
      </c>
      <c r="E129" t="inlineStr">
        <is>
          <t>SURAHAMMAR</t>
        </is>
      </c>
      <c r="F129" t="inlineStr">
        <is>
          <t>Övriga Aktiebolag</t>
        </is>
      </c>
      <c r="G129" t="n">
        <v>12.5</v>
      </c>
      <c r="H129" t="n">
        <v>0</v>
      </c>
      <c r="I129" t="n">
        <v>0</v>
      </c>
      <c r="J129" t="n">
        <v>0</v>
      </c>
      <c r="K129" t="n">
        <v>0</v>
      </c>
      <c r="L129" t="n">
        <v>0</v>
      </c>
      <c r="M129" t="n">
        <v>0</v>
      </c>
      <c r="N129" t="n">
        <v>0</v>
      </c>
      <c r="O129" t="n">
        <v>0</v>
      </c>
      <c r="P129" t="n">
        <v>0</v>
      </c>
      <c r="Q129" t="n">
        <v>0</v>
      </c>
      <c r="R129" s="2" t="inlineStr"/>
    </row>
    <row r="130" ht="15" customHeight="1">
      <c r="A130" t="inlineStr">
        <is>
          <t>A 24665-2023</t>
        </is>
      </c>
      <c r="B130" s="1" t="n">
        <v>45084.48592592592</v>
      </c>
      <c r="C130" s="1" t="n">
        <v>46162</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24167-2024</t>
        </is>
      </c>
      <c r="B131" s="1" t="n">
        <v>45456</v>
      </c>
      <c r="C131" s="1" t="n">
        <v>46162</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59399-2025</t>
        </is>
      </c>
      <c r="B132" s="1" t="n">
        <v>45989</v>
      </c>
      <c r="C132" s="1" t="n">
        <v>46162</v>
      </c>
      <c r="D132" t="inlineStr">
        <is>
          <t>VÄSTMANLANDS LÄN</t>
        </is>
      </c>
      <c r="E132" t="inlineStr">
        <is>
          <t>SURAHAMMAR</t>
        </is>
      </c>
      <c r="F132" t="inlineStr">
        <is>
          <t>Kommuner</t>
        </is>
      </c>
      <c r="G132" t="n">
        <v>2.1</v>
      </c>
      <c r="H132" t="n">
        <v>0</v>
      </c>
      <c r="I132" t="n">
        <v>0</v>
      </c>
      <c r="J132" t="n">
        <v>0</v>
      </c>
      <c r="K132" t="n">
        <v>0</v>
      </c>
      <c r="L132" t="n">
        <v>0</v>
      </c>
      <c r="M132" t="n">
        <v>0</v>
      </c>
      <c r="N132" t="n">
        <v>0</v>
      </c>
      <c r="O132" t="n">
        <v>0</v>
      </c>
      <c r="P132" t="n">
        <v>0</v>
      </c>
      <c r="Q132" t="n">
        <v>0</v>
      </c>
      <c r="R132" s="2" t="inlineStr"/>
    </row>
    <row r="133" ht="15" customHeight="1">
      <c r="A133" t="inlineStr">
        <is>
          <t>A 56541-2025</t>
        </is>
      </c>
      <c r="B133" s="1" t="n">
        <v>45975</v>
      </c>
      <c r="C133" s="1" t="n">
        <v>46162</v>
      </c>
      <c r="D133" t="inlineStr">
        <is>
          <t>VÄSTMANLANDS LÄN</t>
        </is>
      </c>
      <c r="E133" t="inlineStr">
        <is>
          <t>SURAHAMMAR</t>
        </is>
      </c>
      <c r="F133" t="inlineStr">
        <is>
          <t>Sveaskog</t>
        </is>
      </c>
      <c r="G133" t="n">
        <v>7.6</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46162</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63138-2025</t>
        </is>
      </c>
      <c r="B135" s="1" t="n">
        <v>46009</v>
      </c>
      <c r="C135" s="1" t="n">
        <v>46162</v>
      </c>
      <c r="D135" t="inlineStr">
        <is>
          <t>VÄSTMANLANDS LÄN</t>
        </is>
      </c>
      <c r="E135" t="inlineStr">
        <is>
          <t>SURAHAMMAR</t>
        </is>
      </c>
      <c r="F135" t="inlineStr">
        <is>
          <t>Bergvik skog väst AB</t>
        </is>
      </c>
      <c r="G135" t="n">
        <v>2.5</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46162</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46162</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46162</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46162</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19099-2022</t>
        </is>
      </c>
      <c r="B140" s="1" t="n">
        <v>44691</v>
      </c>
      <c r="C140" s="1" t="n">
        <v>46162</v>
      </c>
      <c r="D140" t="inlineStr">
        <is>
          <t>VÄSTMANLANDS LÄN</t>
        </is>
      </c>
      <c r="E140" t="inlineStr">
        <is>
          <t>SURAHAMMAR</t>
        </is>
      </c>
      <c r="F140" t="inlineStr">
        <is>
          <t>Övriga Aktiebolag</t>
        </is>
      </c>
      <c r="G140" t="n">
        <v>3.4</v>
      </c>
      <c r="H140" t="n">
        <v>0</v>
      </c>
      <c r="I140" t="n">
        <v>0</v>
      </c>
      <c r="J140" t="n">
        <v>0</v>
      </c>
      <c r="K140" t="n">
        <v>0</v>
      </c>
      <c r="L140" t="n">
        <v>0</v>
      </c>
      <c r="M140" t="n">
        <v>0</v>
      </c>
      <c r="N140" t="n">
        <v>0</v>
      </c>
      <c r="O140" t="n">
        <v>0</v>
      </c>
      <c r="P140" t="n">
        <v>0</v>
      </c>
      <c r="Q140" t="n">
        <v>0</v>
      </c>
      <c r="R140" s="2" t="inlineStr"/>
    </row>
    <row r="141" ht="15" customHeight="1">
      <c r="A141" t="inlineStr">
        <is>
          <t>A 25780-2023</t>
        </is>
      </c>
      <c r="B141" s="1" t="n">
        <v>45090.47523148148</v>
      </c>
      <c r="C141" s="1" t="n">
        <v>46162</v>
      </c>
      <c r="D141" t="inlineStr">
        <is>
          <t>VÄSTMANLANDS LÄN</t>
        </is>
      </c>
      <c r="E141" t="inlineStr">
        <is>
          <t>SURAHAMMAR</t>
        </is>
      </c>
      <c r="G141" t="n">
        <v>2.8</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46162</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46162</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46162</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46162</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46162</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46162</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46162</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46162</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46162</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46162</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10244-2026</t>
        </is>
      </c>
      <c r="B152" s="1" t="n">
        <v>46076.55032407407</v>
      </c>
      <c r="C152" s="1" t="n">
        <v>46162</v>
      </c>
      <c r="D152" t="inlineStr">
        <is>
          <t>VÄSTMANLANDS LÄN</t>
        </is>
      </c>
      <c r="E152" t="inlineStr">
        <is>
          <t>SURAHAMMAR</t>
        </is>
      </c>
      <c r="F152" t="inlineStr">
        <is>
          <t>Allmännings- och besparingsskogar</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5567-2022</t>
        </is>
      </c>
      <c r="B153" s="1" t="n">
        <v>44595</v>
      </c>
      <c r="C153" s="1" t="n">
        <v>46162</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46162</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10249-2026</t>
        </is>
      </c>
      <c r="B155" s="1" t="n">
        <v>46076.55456018518</v>
      </c>
      <c r="C155" s="1" t="n">
        <v>46162</v>
      </c>
      <c r="D155" t="inlineStr">
        <is>
          <t>VÄSTMANLANDS LÄN</t>
        </is>
      </c>
      <c r="E155" t="inlineStr">
        <is>
          <t>SURAHAMMAR</t>
        </is>
      </c>
      <c r="F155" t="inlineStr">
        <is>
          <t>Allmännings- och besparingsskogar</t>
        </is>
      </c>
      <c r="G155" t="n">
        <v>4.8</v>
      </c>
      <c r="H155" t="n">
        <v>0</v>
      </c>
      <c r="I155" t="n">
        <v>0</v>
      </c>
      <c r="J155" t="n">
        <v>0</v>
      </c>
      <c r="K155" t="n">
        <v>0</v>
      </c>
      <c r="L155" t="n">
        <v>0</v>
      </c>
      <c r="M155" t="n">
        <v>0</v>
      </c>
      <c r="N155" t="n">
        <v>0</v>
      </c>
      <c r="O155" t="n">
        <v>0</v>
      </c>
      <c r="P155" t="n">
        <v>0</v>
      </c>
      <c r="Q155" t="n">
        <v>0</v>
      </c>
      <c r="R155" s="2" t="inlineStr"/>
    </row>
    <row r="156" ht="15" customHeight="1">
      <c r="A156" t="inlineStr">
        <is>
          <t>A 10562-2026</t>
        </is>
      </c>
      <c r="B156" s="1" t="n">
        <v>46077.64043981482</v>
      </c>
      <c r="C156" s="1" t="n">
        <v>46162</v>
      </c>
      <c r="D156" t="inlineStr">
        <is>
          <t>VÄSTMANLANDS LÄN</t>
        </is>
      </c>
      <c r="E156" t="inlineStr">
        <is>
          <t>SURAHAMMAR</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10347-2026</t>
        </is>
      </c>
      <c r="B157" s="1" t="n">
        <v>46076.69101851852</v>
      </c>
      <c r="C157" s="1" t="n">
        <v>46162</v>
      </c>
      <c r="D157" t="inlineStr">
        <is>
          <t>VÄSTMANLANDS LÄN</t>
        </is>
      </c>
      <c r="E157" t="inlineStr">
        <is>
          <t>SURAHAMMAR</t>
        </is>
      </c>
      <c r="F157" t="inlineStr">
        <is>
          <t>Allmännings- och besparingsskogar</t>
        </is>
      </c>
      <c r="G157" t="n">
        <v>3</v>
      </c>
      <c r="H157" t="n">
        <v>0</v>
      </c>
      <c r="I157" t="n">
        <v>0</v>
      </c>
      <c r="J157" t="n">
        <v>0</v>
      </c>
      <c r="K157" t="n">
        <v>0</v>
      </c>
      <c r="L157" t="n">
        <v>0</v>
      </c>
      <c r="M157" t="n">
        <v>0</v>
      </c>
      <c r="N157" t="n">
        <v>0</v>
      </c>
      <c r="O157" t="n">
        <v>0</v>
      </c>
      <c r="P157" t="n">
        <v>0</v>
      </c>
      <c r="Q157" t="n">
        <v>0</v>
      </c>
      <c r="R157" s="2" t="inlineStr"/>
    </row>
    <row r="158" ht="15" customHeight="1">
      <c r="A158" t="inlineStr">
        <is>
          <t>A 3085-2023</t>
        </is>
      </c>
      <c r="B158" s="1" t="n">
        <v>44946</v>
      </c>
      <c r="C158" s="1" t="n">
        <v>46162</v>
      </c>
      <c r="D158" t="inlineStr">
        <is>
          <t>VÄSTMANLANDS LÄN</t>
        </is>
      </c>
      <c r="E158" t="inlineStr">
        <is>
          <t>SURAHAMMAR</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19246-2026</t>
        </is>
      </c>
      <c r="B159" s="1" t="n">
        <v>46132.66501157408</v>
      </c>
      <c r="C159" s="1" t="n">
        <v>46162</v>
      </c>
      <c r="D159" t="inlineStr">
        <is>
          <t>VÄSTMANLANDS LÄN</t>
        </is>
      </c>
      <c r="E159" t="inlineStr">
        <is>
          <t>SURAHAMMAR</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12841-2026</t>
        </is>
      </c>
      <c r="B160" s="1" t="n">
        <v>46091</v>
      </c>
      <c r="C160" s="1" t="n">
        <v>46162</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46162</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46162</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46162</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20535-2026</t>
        </is>
      </c>
      <c r="B164" s="1" t="n">
        <v>46140.56516203703</v>
      </c>
      <c r="C164" s="1" t="n">
        <v>46162</v>
      </c>
      <c r="D164" t="inlineStr">
        <is>
          <t>VÄSTMANLANDS LÄN</t>
        </is>
      </c>
      <c r="E164" t="inlineStr">
        <is>
          <t>SURAHAMMAR</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15637-2022</t>
        </is>
      </c>
      <c r="B165" s="1" t="n">
        <v>44662.89638888889</v>
      </c>
      <c r="C165" s="1" t="n">
        <v>46162</v>
      </c>
      <c r="D165" t="inlineStr">
        <is>
          <t>VÄSTMANLANDS LÄN</t>
        </is>
      </c>
      <c r="E165" t="inlineStr">
        <is>
          <t>SURAHAMMAR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19786-2023</t>
        </is>
      </c>
      <c r="B166" s="1" t="n">
        <v>45050</v>
      </c>
      <c r="C166" s="1" t="n">
        <v>46162</v>
      </c>
      <c r="D166" t="inlineStr">
        <is>
          <t>VÄSTMANLANDS LÄN</t>
        </is>
      </c>
      <c r="E166" t="inlineStr">
        <is>
          <t>SURAHAMMAR</t>
        </is>
      </c>
      <c r="F166" t="inlineStr">
        <is>
          <t>Bergvik skog väst AB</t>
        </is>
      </c>
      <c r="G166" t="n">
        <v>8.1</v>
      </c>
      <c r="H166" t="n">
        <v>0</v>
      </c>
      <c r="I166" t="n">
        <v>0</v>
      </c>
      <c r="J166" t="n">
        <v>0</v>
      </c>
      <c r="K166" t="n">
        <v>0</v>
      </c>
      <c r="L166" t="n">
        <v>0</v>
      </c>
      <c r="M166" t="n">
        <v>0</v>
      </c>
      <c r="N166" t="n">
        <v>0</v>
      </c>
      <c r="O166" t="n">
        <v>0</v>
      </c>
      <c r="P166" t="n">
        <v>0</v>
      </c>
      <c r="Q166" t="n">
        <v>0</v>
      </c>
      <c r="R166" s="2" t="inlineStr"/>
    </row>
    <row r="167" ht="15" customHeight="1">
      <c r="A167" t="inlineStr">
        <is>
          <t>A 7787-2024</t>
        </is>
      </c>
      <c r="B167" s="1" t="n">
        <v>45348</v>
      </c>
      <c r="C167" s="1" t="n">
        <v>46162</v>
      </c>
      <c r="D167" t="inlineStr">
        <is>
          <t>VÄSTMANLANDS LÄN</t>
        </is>
      </c>
      <c r="E167" t="inlineStr">
        <is>
          <t>SURAHAMMAR</t>
        </is>
      </c>
      <c r="G167" t="n">
        <v>1</v>
      </c>
      <c r="H167" t="n">
        <v>0</v>
      </c>
      <c r="I167" t="n">
        <v>0</v>
      </c>
      <c r="J167" t="n">
        <v>0</v>
      </c>
      <c r="K167" t="n">
        <v>0</v>
      </c>
      <c r="L167" t="n">
        <v>0</v>
      </c>
      <c r="M167" t="n">
        <v>0</v>
      </c>
      <c r="N167" t="n">
        <v>0</v>
      </c>
      <c r="O167" t="n">
        <v>0</v>
      </c>
      <c r="P167" t="n">
        <v>0</v>
      </c>
      <c r="Q167" t="n">
        <v>0</v>
      </c>
      <c r="R167" s="2" t="inlineStr"/>
    </row>
    <row r="168" ht="15" customHeight="1">
      <c r="A168" t="inlineStr">
        <is>
          <t>A 15739-2023</t>
        </is>
      </c>
      <c r="B168" s="1" t="n">
        <v>45021</v>
      </c>
      <c r="C168" s="1" t="n">
        <v>46162</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38154-2021</t>
        </is>
      </c>
      <c r="B169" s="1" t="n">
        <v>44405.42373842592</v>
      </c>
      <c r="C169" s="1" t="n">
        <v>46162</v>
      </c>
      <c r="D169" t="inlineStr">
        <is>
          <t>VÄSTMANLANDS LÄN</t>
        </is>
      </c>
      <c r="E169" t="inlineStr">
        <is>
          <t>SURAHAMMAR</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32910-2025</t>
        </is>
      </c>
      <c r="B170" s="1" t="n">
        <v>45839</v>
      </c>
      <c r="C170" s="1" t="n">
        <v>46162</v>
      </c>
      <c r="D170" t="inlineStr">
        <is>
          <t>VÄSTMANLANDS LÄN</t>
        </is>
      </c>
      <c r="E170" t="inlineStr">
        <is>
          <t>SURAHAMMAR</t>
        </is>
      </c>
      <c r="F170" t="inlineStr">
        <is>
          <t>Kommuner</t>
        </is>
      </c>
      <c r="G170" t="n">
        <v>1.1</v>
      </c>
      <c r="H170" t="n">
        <v>0</v>
      </c>
      <c r="I170" t="n">
        <v>0</v>
      </c>
      <c r="J170" t="n">
        <v>0</v>
      </c>
      <c r="K170" t="n">
        <v>0</v>
      </c>
      <c r="L170" t="n">
        <v>0</v>
      </c>
      <c r="M170" t="n">
        <v>0</v>
      </c>
      <c r="N170" t="n">
        <v>0</v>
      </c>
      <c r="O170" t="n">
        <v>0</v>
      </c>
      <c r="P170" t="n">
        <v>0</v>
      </c>
      <c r="Q170" t="n">
        <v>0</v>
      </c>
      <c r="R170" s="2" t="inlineStr"/>
    </row>
    <row r="171">
      <c r="A171" t="inlineStr">
        <is>
          <t>A 32916-2025</t>
        </is>
      </c>
      <c r="B171" s="1" t="n">
        <v>45839</v>
      </c>
      <c r="C171" s="1" t="n">
        <v>46162</v>
      </c>
      <c r="D171" t="inlineStr">
        <is>
          <t>VÄSTMANLANDS LÄN</t>
        </is>
      </c>
      <c r="E171" t="inlineStr">
        <is>
          <t>SURAHAMMAR</t>
        </is>
      </c>
      <c r="F171" t="inlineStr">
        <is>
          <t>Kommuner</t>
        </is>
      </c>
      <c r="G171" t="n">
        <v>4.9</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2026-05-20T10:57:20Z</dcterms:created>
  <dcterms:modified xmlns:dcterms="http://purl.org/dc/terms/" xmlns:xsi="http://www.w3.org/2001/XMLSchema-instance" xsi:type="dcterms:W3CDTF">2026-05-20T10:57:20Z</dcterms:modified>
</cp:coreProperties>
</file>