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45588</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45588</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45588</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46468-2024</t>
        </is>
      </c>
      <c r="B6" s="1" t="n">
        <v>45582</v>
      </c>
      <c r="C6" s="1" t="n">
        <v>45588</v>
      </c>
      <c r="D6" t="inlineStr">
        <is>
          <t>VÄSTMANLANDS LÄN</t>
        </is>
      </c>
      <c r="E6" t="inlineStr">
        <is>
          <t>SURAHAMMAR</t>
        </is>
      </c>
      <c r="F6" t="inlineStr">
        <is>
          <t>Bergvik skog väst AB</t>
        </is>
      </c>
      <c r="G6" t="n">
        <v>9</v>
      </c>
      <c r="H6" t="n">
        <v>3</v>
      </c>
      <c r="I6" t="n">
        <v>8</v>
      </c>
      <c r="J6" t="n">
        <v>4</v>
      </c>
      <c r="K6" t="n">
        <v>0</v>
      </c>
      <c r="L6" t="n">
        <v>0</v>
      </c>
      <c r="M6" t="n">
        <v>0</v>
      </c>
      <c r="N6" t="n">
        <v>0</v>
      </c>
      <c r="O6" t="n">
        <v>4</v>
      </c>
      <c r="P6" t="n">
        <v>0</v>
      </c>
      <c r="Q6" t="n">
        <v>15</v>
      </c>
      <c r="R6" s="2" t="inlineStr">
        <is>
          <t>Barrpraktbagge
Furustumpbagge
Motaggsvamp
Vedskivlav
Bronshjon
Dropptaggsvamp
Grönpyrola
Mindre märgborre
Skarp dropptaggsvamp
Thomsons trägnagare
Trådticka
Vedticka
Gröngöling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22024-2020</t>
        </is>
      </c>
      <c r="B7" s="1" t="n">
        <v>43959</v>
      </c>
      <c r="C7" s="1" t="n">
        <v>45588</v>
      </c>
      <c r="D7" t="inlineStr">
        <is>
          <t>VÄSTMANLANDS LÄN</t>
        </is>
      </c>
      <c r="E7" t="inlineStr">
        <is>
          <t>SURAHAMMAR</t>
        </is>
      </c>
      <c r="F7" t="inlineStr">
        <is>
          <t>Kommuner</t>
        </is>
      </c>
      <c r="G7" t="n">
        <v>19.1</v>
      </c>
      <c r="H7" t="n">
        <v>2</v>
      </c>
      <c r="I7" t="n">
        <v>4</v>
      </c>
      <c r="J7" t="n">
        <v>5</v>
      </c>
      <c r="K7" t="n">
        <v>4</v>
      </c>
      <c r="L7" t="n">
        <v>0</v>
      </c>
      <c r="M7" t="n">
        <v>0</v>
      </c>
      <c r="N7" t="n">
        <v>0</v>
      </c>
      <c r="O7" t="n">
        <v>9</v>
      </c>
      <c r="P7" t="n">
        <v>4</v>
      </c>
      <c r="Q7" t="n">
        <v>14</v>
      </c>
      <c r="R7" s="2" t="inlineStr">
        <is>
          <t>Hängticka
Knärot
Rynkskinn
Vågticka
Garnlav
Granticka
Gropticka
Tallticka
Ullticka
Blomkålssvamp
Brandticka
Gullgröppa
Vedticka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row>
    <row r="8" ht="15" customHeight="1">
      <c r="A8" t="inlineStr">
        <is>
          <t>A 48349-2022</t>
        </is>
      </c>
      <c r="B8" s="1" t="n">
        <v>44858</v>
      </c>
      <c r="C8" s="1" t="n">
        <v>45588</v>
      </c>
      <c r="D8" t="inlineStr">
        <is>
          <t>VÄSTMANLANDS LÄN</t>
        </is>
      </c>
      <c r="E8" t="inlineStr">
        <is>
          <t>SURAHAMMAR</t>
        </is>
      </c>
      <c r="G8" t="n">
        <v>5.3</v>
      </c>
      <c r="H8" t="n">
        <v>4</v>
      </c>
      <c r="I8" t="n">
        <v>6</v>
      </c>
      <c r="J8" t="n">
        <v>6</v>
      </c>
      <c r="K8" t="n">
        <v>1</v>
      </c>
      <c r="L8" t="n">
        <v>0</v>
      </c>
      <c r="M8" t="n">
        <v>0</v>
      </c>
      <c r="N8" t="n">
        <v>0</v>
      </c>
      <c r="O8" t="n">
        <v>7</v>
      </c>
      <c r="P8" t="n">
        <v>1</v>
      </c>
      <c r="Q8" t="n">
        <v>14</v>
      </c>
      <c r="R8" s="2" t="inlineStr">
        <is>
          <t>Knärot
Grantaggsvamp
Motaggsvamp
Spillkråka
Tallticka
Talltita
Vedtrappmossa
Blomkålssvamp
Bollvitmossa
Bronshjon
Mindre märgborre
Vedticka
Vågbandad barkbock
Revlummer</t>
        </is>
      </c>
      <c r="S8">
        <f>HYPERLINK("https://klasma.github.io/Logging_1907/artfynd/A 48349-2022 artfynd.xlsx", "A 48349-2022")</f>
        <v/>
      </c>
      <c r="T8">
        <f>HYPERLINK("https://klasma.github.io/Logging_1907/kartor/A 48349-2022 karta.png", "A 48349-2022")</f>
        <v/>
      </c>
      <c r="U8">
        <f>HYPERLINK("https://klasma.github.io/Logging_1907/knärot/A 48349-2022 karta knärot.png", "A 48349-2022")</f>
        <v/>
      </c>
      <c r="V8">
        <f>HYPERLINK("https://klasma.github.io/Logging_1907/klagomål/A 48349-2022 FSC-klagomål.docx", "A 48349-2022")</f>
        <v/>
      </c>
      <c r="W8">
        <f>HYPERLINK("https://klasma.github.io/Logging_1907/klagomålsmail/A 48349-2022 FSC-klagomål mail.docx", "A 48349-2022")</f>
        <v/>
      </c>
      <c r="X8">
        <f>HYPERLINK("https://klasma.github.io/Logging_1907/tillsyn/A 48349-2022 tillsynsbegäran.docx", "A 48349-2022")</f>
        <v/>
      </c>
      <c r="Y8">
        <f>HYPERLINK("https://klasma.github.io/Logging_1907/tillsynsmail/A 48349-2022 tillsynsbegäran mail.docx", "A 48349-2022")</f>
        <v/>
      </c>
      <c r="Z8">
        <f>HYPERLINK("https://klasma.github.io/Logging_1907/fåglar/A 48349-2022 prioriterade fågelarter.docx", "A 48349-2022")</f>
        <v/>
      </c>
    </row>
    <row r="9" ht="15" customHeight="1">
      <c r="A9" t="inlineStr">
        <is>
          <t>A 12116-2023</t>
        </is>
      </c>
      <c r="B9" s="1" t="n">
        <v>44995</v>
      </c>
      <c r="C9" s="1" t="n">
        <v>45588</v>
      </c>
      <c r="D9" t="inlineStr">
        <is>
          <t>VÄSTMANLANDS LÄN</t>
        </is>
      </c>
      <c r="E9" t="inlineStr">
        <is>
          <t>SURAHAMMAR</t>
        </is>
      </c>
      <c r="G9" t="n">
        <v>9.300000000000001</v>
      </c>
      <c r="H9" t="n">
        <v>13</v>
      </c>
      <c r="I9" t="n">
        <v>0</v>
      </c>
      <c r="J9" t="n">
        <v>4</v>
      </c>
      <c r="K9" t="n">
        <v>1</v>
      </c>
      <c r="L9" t="n">
        <v>1</v>
      </c>
      <c r="M9" t="n">
        <v>0</v>
      </c>
      <c r="N9" t="n">
        <v>0</v>
      </c>
      <c r="O9" t="n">
        <v>6</v>
      </c>
      <c r="P9" t="n">
        <v>2</v>
      </c>
      <c r="Q9" t="n">
        <v>13</v>
      </c>
      <c r="R9" s="2" t="inlineStr">
        <is>
          <t>Tornseglare
Stare
Duvhök
Rosenfink
Spillkråka
Stenfalk
Enkelbeckasin
Gråspett
Gröngöling
Göktyta
Nattskärra
Skogsduva
Törnskata</t>
        </is>
      </c>
      <c r="S9">
        <f>HYPERLINK("https://klasma.github.io/Logging_1907/artfynd/A 12116-2023 artfynd.xlsx", "A 12116-2023")</f>
        <v/>
      </c>
      <c r="T9">
        <f>HYPERLINK("https://klasma.github.io/Logging_1907/kartor/A 12116-2023 karta.png", "A 12116-2023")</f>
        <v/>
      </c>
      <c r="V9">
        <f>HYPERLINK("https://klasma.github.io/Logging_1907/klagomål/A 12116-2023 FSC-klagomål.docx", "A 12116-2023")</f>
        <v/>
      </c>
      <c r="W9">
        <f>HYPERLINK("https://klasma.github.io/Logging_1907/klagomålsmail/A 12116-2023 FSC-klagomål mail.docx", "A 12116-2023")</f>
        <v/>
      </c>
      <c r="X9">
        <f>HYPERLINK("https://klasma.github.io/Logging_1907/tillsyn/A 12116-2023 tillsynsbegäran.docx", "A 12116-2023")</f>
        <v/>
      </c>
      <c r="Y9">
        <f>HYPERLINK("https://klasma.github.io/Logging_1907/tillsynsmail/A 12116-2023 tillsynsbegäran mail.docx", "A 12116-2023")</f>
        <v/>
      </c>
      <c r="Z9">
        <f>HYPERLINK("https://klasma.github.io/Logging_1907/fåglar/A 12116-2023 prioriterade fågelarter.docx", "A 12116-2023")</f>
        <v/>
      </c>
    </row>
    <row r="10" ht="15" customHeight="1">
      <c r="A10" t="inlineStr">
        <is>
          <t>A 17626-2023</t>
        </is>
      </c>
      <c r="B10" s="1" t="n">
        <v>45036</v>
      </c>
      <c r="C10" s="1" t="n">
        <v>45588</v>
      </c>
      <c r="D10" t="inlineStr">
        <is>
          <t>VÄSTMANLANDS LÄN</t>
        </is>
      </c>
      <c r="E10" t="inlineStr">
        <is>
          <t>SURAHAMMAR</t>
        </is>
      </c>
      <c r="G10" t="n">
        <v>5.6</v>
      </c>
      <c r="H10" t="n">
        <v>3</v>
      </c>
      <c r="I10" t="n">
        <v>7</v>
      </c>
      <c r="J10" t="n">
        <v>3</v>
      </c>
      <c r="K10" t="n">
        <v>1</v>
      </c>
      <c r="L10" t="n">
        <v>0</v>
      </c>
      <c r="M10" t="n">
        <v>0</v>
      </c>
      <c r="N10" t="n">
        <v>0</v>
      </c>
      <c r="O10" t="n">
        <v>4</v>
      </c>
      <c r="P10" t="n">
        <v>1</v>
      </c>
      <c r="Q10" t="n">
        <v>13</v>
      </c>
      <c r="R10" s="2" t="inlineStr">
        <is>
          <t>Knärot
Granticka
Gropticka
Ullticka
Blomkålssvamp
Grönpyrola
Gullgröppa
Kamjordstjärna
Stubbspretmossa
Trådticka
Vedticka
Mattlummer
Revlummer</t>
        </is>
      </c>
      <c r="S10">
        <f>HYPERLINK("https://klasma.github.io/Logging_1907/artfynd/A 17626-2023 artfynd.xlsx", "A 17626-2023")</f>
        <v/>
      </c>
      <c r="T10">
        <f>HYPERLINK("https://klasma.github.io/Logging_1907/kartor/A 17626-2023 karta.png", "A 17626-2023")</f>
        <v/>
      </c>
      <c r="U10">
        <f>HYPERLINK("https://klasma.github.io/Logging_1907/knärot/A 17626-2023 karta knärot.png", "A 17626-2023")</f>
        <v/>
      </c>
      <c r="V10">
        <f>HYPERLINK("https://klasma.github.io/Logging_1907/klagomål/A 17626-2023 FSC-klagomål.docx", "A 17626-2023")</f>
        <v/>
      </c>
      <c r="W10">
        <f>HYPERLINK("https://klasma.github.io/Logging_1907/klagomålsmail/A 17626-2023 FSC-klagomål mail.docx", "A 17626-2023")</f>
        <v/>
      </c>
      <c r="X10">
        <f>HYPERLINK("https://klasma.github.io/Logging_1907/tillsyn/A 17626-2023 tillsynsbegäran.docx", "A 17626-2023")</f>
        <v/>
      </c>
      <c r="Y10">
        <f>HYPERLINK("https://klasma.github.io/Logging_1907/tillsynsmail/A 17626-2023 tillsynsbegäran mail.docx", "A 17626-2023")</f>
        <v/>
      </c>
    </row>
    <row r="11" ht="15" customHeight="1">
      <c r="A11" t="inlineStr">
        <is>
          <t>A 40942-2023</t>
        </is>
      </c>
      <c r="B11" s="1" t="n">
        <v>45169</v>
      </c>
      <c r="C11" s="1" t="n">
        <v>45588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45588</v>
      </c>
      <c r="D12" t="inlineStr">
        <is>
          <t>VÄSTMANLANDS LÄN</t>
        </is>
      </c>
      <c r="E12" t="inlineStr">
        <is>
          <t>SURAHAMMAR</t>
        </is>
      </c>
      <c r="F12" t="inlineStr">
        <is>
          <t>Bergvik skog väst AB</t>
        </is>
      </c>
      <c r="G12" t="n">
        <v>20.3</v>
      </c>
      <c r="H12" t="n">
        <v>2</v>
      </c>
      <c r="I12" t="n">
        <v>5</v>
      </c>
      <c r="J12" t="n">
        <v>5</v>
      </c>
      <c r="K12" t="n">
        <v>2</v>
      </c>
      <c r="L12" t="n">
        <v>0</v>
      </c>
      <c r="M12" t="n">
        <v>0</v>
      </c>
      <c r="N12" t="n">
        <v>0</v>
      </c>
      <c r="O12" t="n">
        <v>7</v>
      </c>
      <c r="P12" t="n">
        <v>2</v>
      </c>
      <c r="Q12" t="n">
        <v>12</v>
      </c>
      <c r="R12" s="2" t="inlineStr">
        <is>
          <t>Knärot
Vågticka
Gropticka
Krusfrö
Motaggsvamp
Skrovlig taggsvamp
Talltita
Blodticka
Dropptaggsvamp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21236-2021</t>
        </is>
      </c>
      <c r="B13" s="1" t="n">
        <v>44314</v>
      </c>
      <c r="C13" s="1" t="n">
        <v>45588</v>
      </c>
      <c r="D13" t="inlineStr">
        <is>
          <t>VÄSTMANLANDS LÄN</t>
        </is>
      </c>
      <c r="E13" t="inlineStr">
        <is>
          <t>SURAHAMMAR</t>
        </is>
      </c>
      <c r="F13" t="inlineStr">
        <is>
          <t>Bergvik skog väst AB</t>
        </is>
      </c>
      <c r="G13" t="n">
        <v>11.1</v>
      </c>
      <c r="H13" t="n">
        <v>6</v>
      </c>
      <c r="I13" t="n">
        <v>4</v>
      </c>
      <c r="J13" t="n">
        <v>2</v>
      </c>
      <c r="K13" t="n">
        <v>1</v>
      </c>
      <c r="L13" t="n">
        <v>0</v>
      </c>
      <c r="M13" t="n">
        <v>0</v>
      </c>
      <c r="N13" t="n">
        <v>0</v>
      </c>
      <c r="O13" t="n">
        <v>3</v>
      </c>
      <c r="P13" t="n">
        <v>1</v>
      </c>
      <c r="Q13" t="n">
        <v>11</v>
      </c>
      <c r="R13" s="2" t="inlineStr">
        <is>
          <t>Bombmurkla
Skogshare
Talltita
Fjällig taggsvamp s.str.
Grönpyrola
Tibast
Vårärt
Fläcknycklar
Blåsippa
Lopplummer
Revlummer</t>
        </is>
      </c>
      <c r="S13">
        <f>HYPERLINK("https://klasma.github.io/Logging_1907/artfynd/A 21236-2021 artfynd.xlsx", "A 21236-2021")</f>
        <v/>
      </c>
      <c r="T13">
        <f>HYPERLINK("https://klasma.github.io/Logging_1907/kartor/A 21236-2021 karta.png", "A 21236-2021")</f>
        <v/>
      </c>
      <c r="V13">
        <f>HYPERLINK("https://klasma.github.io/Logging_1907/klagomål/A 21236-2021 FSC-klagomål.docx", "A 21236-2021")</f>
        <v/>
      </c>
      <c r="W13">
        <f>HYPERLINK("https://klasma.github.io/Logging_1907/klagomålsmail/A 21236-2021 FSC-klagomål mail.docx", "A 21236-2021")</f>
        <v/>
      </c>
      <c r="X13">
        <f>HYPERLINK("https://klasma.github.io/Logging_1907/tillsyn/A 21236-2021 tillsynsbegäran.docx", "A 21236-2021")</f>
        <v/>
      </c>
      <c r="Y13">
        <f>HYPERLINK("https://klasma.github.io/Logging_1907/tillsynsmail/A 21236-2021 tillsynsbegäran mail.docx", "A 21236-2021")</f>
        <v/>
      </c>
      <c r="Z13">
        <f>HYPERLINK("https://klasma.github.io/Logging_1907/fåglar/A 21236-2021 prioriterade fågelarter.docx", "A 21236-2021")</f>
        <v/>
      </c>
    </row>
    <row r="14" ht="15" customHeight="1">
      <c r="A14" t="inlineStr">
        <is>
          <t>A 34040-2024</t>
        </is>
      </c>
      <c r="B14" s="1" t="n">
        <v>45523</v>
      </c>
      <c r="C14" s="1" t="n">
        <v>45588</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45588</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23039-2023</t>
        </is>
      </c>
      <c r="B16" s="1" t="n">
        <v>45074</v>
      </c>
      <c r="C16" s="1" t="n">
        <v>45588</v>
      </c>
      <c r="D16" t="inlineStr">
        <is>
          <t>VÄSTMANLANDS LÄN</t>
        </is>
      </c>
      <c r="E16" t="inlineStr">
        <is>
          <t>SURAHAMMAR</t>
        </is>
      </c>
      <c r="F16" t="inlineStr">
        <is>
          <t>Allmännings- och besparingsskogar</t>
        </is>
      </c>
      <c r="G16" t="n">
        <v>19.4</v>
      </c>
      <c r="H16" t="n">
        <v>8</v>
      </c>
      <c r="I16" t="n">
        <v>2</v>
      </c>
      <c r="J16" t="n">
        <v>1</v>
      </c>
      <c r="K16" t="n">
        <v>1</v>
      </c>
      <c r="L16" t="n">
        <v>0</v>
      </c>
      <c r="M16" t="n">
        <v>0</v>
      </c>
      <c r="N16" t="n">
        <v>0</v>
      </c>
      <c r="O16" t="n">
        <v>2</v>
      </c>
      <c r="P16" t="n">
        <v>1</v>
      </c>
      <c r="Q16" t="n">
        <v>9</v>
      </c>
      <c r="R16" s="2" t="inlineStr">
        <is>
          <t>Knärot
Spillkråka
Grönpyrola
Plattlummer
Nattskärra
Åkergroda
Fläcknycklar
Mattlummer
Revlummer</t>
        </is>
      </c>
      <c r="S16">
        <f>HYPERLINK("https://klasma.github.io/Logging_1907/artfynd/A 23039-2023 artfynd.xlsx", "A 23039-2023")</f>
        <v/>
      </c>
      <c r="T16">
        <f>HYPERLINK("https://klasma.github.io/Logging_1907/kartor/A 23039-2023 karta.png", "A 23039-2023")</f>
        <v/>
      </c>
      <c r="U16">
        <f>HYPERLINK("https://klasma.github.io/Logging_1907/knärot/A 23039-2023 karta knärot.png", "A 23039-2023")</f>
        <v/>
      </c>
      <c r="V16">
        <f>HYPERLINK("https://klasma.github.io/Logging_1907/klagomål/A 23039-2023 FSC-klagomål.docx", "A 23039-2023")</f>
        <v/>
      </c>
      <c r="W16">
        <f>HYPERLINK("https://klasma.github.io/Logging_1907/klagomålsmail/A 23039-2023 FSC-klagomål mail.docx", "A 23039-2023")</f>
        <v/>
      </c>
      <c r="X16">
        <f>HYPERLINK("https://klasma.github.io/Logging_1907/tillsyn/A 23039-2023 tillsynsbegäran.docx", "A 23039-2023")</f>
        <v/>
      </c>
      <c r="Y16">
        <f>HYPERLINK("https://klasma.github.io/Logging_1907/tillsynsmail/A 23039-2023 tillsynsbegäran mail.docx", "A 23039-2023")</f>
        <v/>
      </c>
      <c r="Z16">
        <f>HYPERLINK("https://klasma.github.io/Logging_1907/fåglar/A 23039-2023 prioriterade fågelarter.docx", "A 23039-2023")</f>
        <v/>
      </c>
    </row>
    <row r="17" ht="15" customHeight="1">
      <c r="A17" t="inlineStr">
        <is>
          <t>A 33878-2019</t>
        </is>
      </c>
      <c r="B17" s="1" t="n">
        <v>43653</v>
      </c>
      <c r="C17" s="1" t="n">
        <v>45588</v>
      </c>
      <c r="D17" t="inlineStr">
        <is>
          <t>VÄSTMANLANDS LÄN</t>
        </is>
      </c>
      <c r="E17" t="inlineStr">
        <is>
          <t>SURAHAMMAR</t>
        </is>
      </c>
      <c r="F17" t="inlineStr">
        <is>
          <t>Kyrkan</t>
        </is>
      </c>
      <c r="G17" t="n">
        <v>0.7</v>
      </c>
      <c r="H17" t="n">
        <v>2</v>
      </c>
      <c r="I17" t="n">
        <v>5</v>
      </c>
      <c r="J17" t="n">
        <v>2</v>
      </c>
      <c r="K17" t="n">
        <v>0</v>
      </c>
      <c r="L17" t="n">
        <v>0</v>
      </c>
      <c r="M17" t="n">
        <v>0</v>
      </c>
      <c r="N17" t="n">
        <v>0</v>
      </c>
      <c r="O17" t="n">
        <v>2</v>
      </c>
      <c r="P17" t="n">
        <v>0</v>
      </c>
      <c r="Q17" t="n">
        <v>8</v>
      </c>
      <c r="R17" s="2" t="inlineStr">
        <is>
          <t>Sotnätfjäril
Spillkråka
Bollvitmossa
Kornig nållav
Stubbspretmossa
Svart trolldruva
Vårärt
Blåsippa</t>
        </is>
      </c>
      <c r="S17">
        <f>HYPERLINK("https://klasma.github.io/Logging_1907/artfynd/A 33878-2019 artfynd.xlsx", "A 33878-2019")</f>
        <v/>
      </c>
      <c r="T17">
        <f>HYPERLINK("https://klasma.github.io/Logging_1907/kartor/A 33878-2019 karta.png", "A 33878-2019")</f>
        <v/>
      </c>
      <c r="V17">
        <f>HYPERLINK("https://klasma.github.io/Logging_1907/klagomål/A 33878-2019 FSC-klagomål.docx", "A 33878-2019")</f>
        <v/>
      </c>
      <c r="W17">
        <f>HYPERLINK("https://klasma.github.io/Logging_1907/klagomålsmail/A 33878-2019 FSC-klagomål mail.docx", "A 33878-2019")</f>
        <v/>
      </c>
      <c r="X17">
        <f>HYPERLINK("https://klasma.github.io/Logging_1907/tillsyn/A 33878-2019 tillsynsbegäran.docx", "A 33878-2019")</f>
        <v/>
      </c>
      <c r="Y17">
        <f>HYPERLINK("https://klasma.github.io/Logging_1907/tillsynsmail/A 33878-2019 tillsynsbegäran mail.docx", "A 33878-2019")</f>
        <v/>
      </c>
      <c r="Z17">
        <f>HYPERLINK("https://klasma.github.io/Logging_1907/fåglar/A 33878-2019 prioriterade fågelarter.docx", "A 33878-2019")</f>
        <v/>
      </c>
    </row>
    <row r="18" ht="15" customHeight="1">
      <c r="A18" t="inlineStr">
        <is>
          <t>A 65022-2023</t>
        </is>
      </c>
      <c r="B18" s="1" t="n">
        <v>45282</v>
      </c>
      <c r="C18" s="1" t="n">
        <v>45588</v>
      </c>
      <c r="D18" t="inlineStr">
        <is>
          <t>VÄSTMANLANDS LÄN</t>
        </is>
      </c>
      <c r="E18" t="inlineStr">
        <is>
          <t>SURAHAMMAR</t>
        </is>
      </c>
      <c r="F18" t="inlineStr">
        <is>
          <t>Bergvik skog väst AB</t>
        </is>
      </c>
      <c r="G18" t="n">
        <v>11</v>
      </c>
      <c r="H18" t="n">
        <v>5</v>
      </c>
      <c r="I18" t="n">
        <v>4</v>
      </c>
      <c r="J18" t="n">
        <v>1</v>
      </c>
      <c r="K18" t="n">
        <v>1</v>
      </c>
      <c r="L18" t="n">
        <v>0</v>
      </c>
      <c r="M18" t="n">
        <v>0</v>
      </c>
      <c r="N18" t="n">
        <v>0</v>
      </c>
      <c r="O18" t="n">
        <v>2</v>
      </c>
      <c r="P18" t="n">
        <v>1</v>
      </c>
      <c r="Q18" t="n">
        <v>8</v>
      </c>
      <c r="R18" s="2" t="inlineStr">
        <is>
          <t>Knärot
Spillkråka
Bronshjon
Grovticka
Grönpyrola
Plattlummer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31125-2024</t>
        </is>
      </c>
      <c r="B19" s="1" t="n">
        <v>45502</v>
      </c>
      <c r="C19" s="1" t="n">
        <v>45588</v>
      </c>
      <c r="D19" t="inlineStr">
        <is>
          <t>VÄSTMANLANDS LÄN</t>
        </is>
      </c>
      <c r="E19" t="inlineStr">
        <is>
          <t>SURAHAMMAR</t>
        </is>
      </c>
      <c r="G19" t="n">
        <v>5.3</v>
      </c>
      <c r="H19" t="n">
        <v>2</v>
      </c>
      <c r="I19" t="n">
        <v>3</v>
      </c>
      <c r="J19" t="n">
        <v>1</v>
      </c>
      <c r="K19" t="n">
        <v>2</v>
      </c>
      <c r="L19" t="n">
        <v>0</v>
      </c>
      <c r="M19" t="n">
        <v>0</v>
      </c>
      <c r="N19" t="n">
        <v>0</v>
      </c>
      <c r="O19" t="n">
        <v>3</v>
      </c>
      <c r="P19" t="n">
        <v>2</v>
      </c>
      <c r="Q19" t="n">
        <v>7</v>
      </c>
      <c r="R19" s="2" t="inlineStr">
        <is>
          <t>Bombmurkla
Vågticka
Veckticka
Barkticka
Gulnål
Svart trolldruva
Blåsippa</t>
        </is>
      </c>
      <c r="S19">
        <f>HYPERLINK("https://klasma.github.io/Logging_1907/artfynd/A 31125-2024 artfynd.xlsx", "A 31125-2024")</f>
        <v/>
      </c>
      <c r="T19">
        <f>HYPERLINK("https://klasma.github.io/Logging_1907/kartor/A 31125-2024 karta.png", "A 31125-2024")</f>
        <v/>
      </c>
      <c r="V19">
        <f>HYPERLINK("https://klasma.github.io/Logging_1907/klagomål/A 31125-2024 FSC-klagomål.docx", "A 31125-2024")</f>
        <v/>
      </c>
      <c r="W19">
        <f>HYPERLINK("https://klasma.github.io/Logging_1907/klagomålsmail/A 31125-2024 FSC-klagomål mail.docx", "A 31125-2024")</f>
        <v/>
      </c>
      <c r="X19">
        <f>HYPERLINK("https://klasma.github.io/Logging_1907/tillsyn/A 31125-2024 tillsynsbegäran.docx", "A 31125-2024")</f>
        <v/>
      </c>
      <c r="Y19">
        <f>HYPERLINK("https://klasma.github.io/Logging_1907/tillsynsmail/A 31125-2024 tillsynsbegäran mail.docx", "A 31125-2024")</f>
        <v/>
      </c>
    </row>
    <row r="20" ht="15" customHeight="1">
      <c r="A20" t="inlineStr">
        <is>
          <t>A 66349-2021</t>
        </is>
      </c>
      <c r="B20" s="1" t="n">
        <v>44518</v>
      </c>
      <c r="C20" s="1" t="n">
        <v>45588</v>
      </c>
      <c r="D20" t="inlineStr">
        <is>
          <t>VÄSTMANLANDS LÄN</t>
        </is>
      </c>
      <c r="E20" t="inlineStr">
        <is>
          <t>SURAHAMMAR</t>
        </is>
      </c>
      <c r="F20" t="inlineStr">
        <is>
          <t>Sveaskog</t>
        </is>
      </c>
      <c r="G20" t="n">
        <v>6</v>
      </c>
      <c r="H20" t="n">
        <v>3</v>
      </c>
      <c r="I20" t="n">
        <v>2</v>
      </c>
      <c r="J20" t="n">
        <v>3</v>
      </c>
      <c r="K20" t="n">
        <v>0</v>
      </c>
      <c r="L20" t="n">
        <v>0</v>
      </c>
      <c r="M20" t="n">
        <v>0</v>
      </c>
      <c r="N20" t="n">
        <v>0</v>
      </c>
      <c r="O20" t="n">
        <v>3</v>
      </c>
      <c r="P20" t="n">
        <v>0</v>
      </c>
      <c r="Q20" t="n">
        <v>6</v>
      </c>
      <c r="R20" s="2" t="inlineStr">
        <is>
          <t>Krusfrö
Spillkråka
Talltita
Björksplintborre
Bronshjon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c r="Z20">
        <f>HYPERLINK("https://klasma.github.io/Logging_1907/fåglar/A 66349-2021 prioriterade fågelarter.docx", "A 66349-2021")</f>
        <v/>
      </c>
    </row>
    <row r="21" ht="15" customHeight="1">
      <c r="A21" t="inlineStr">
        <is>
          <t>A 7791-2024</t>
        </is>
      </c>
      <c r="B21" s="1" t="n">
        <v>45348</v>
      </c>
      <c r="C21" s="1" t="n">
        <v>45588</v>
      </c>
      <c r="D21" t="inlineStr">
        <is>
          <t>VÄSTMANLANDS LÄN</t>
        </is>
      </c>
      <c r="E21" t="inlineStr">
        <is>
          <t>SURAHAMMAR</t>
        </is>
      </c>
      <c r="G21" t="n">
        <v>9.6</v>
      </c>
      <c r="H21" t="n">
        <v>2</v>
      </c>
      <c r="I21" t="n">
        <v>4</v>
      </c>
      <c r="J21" t="n">
        <v>1</v>
      </c>
      <c r="K21" t="n">
        <v>0</v>
      </c>
      <c r="L21" t="n">
        <v>0</v>
      </c>
      <c r="M21" t="n">
        <v>0</v>
      </c>
      <c r="N21" t="n">
        <v>0</v>
      </c>
      <c r="O21" t="n">
        <v>1</v>
      </c>
      <c r="P21" t="n">
        <v>0</v>
      </c>
      <c r="Q21" t="n">
        <v>6</v>
      </c>
      <c r="R21" s="2" t="inlineStr">
        <is>
          <t>Talltita
Blomkålssvamp
Bronshjon
Mörk vedstrit
Vedticka
Tjäder</t>
        </is>
      </c>
      <c r="S21">
        <f>HYPERLINK("https://klasma.github.io/Logging_1907/artfynd/A 7791-2024 artfynd.xlsx", "A 7791-2024")</f>
        <v/>
      </c>
      <c r="T21">
        <f>HYPERLINK("https://klasma.github.io/Logging_1907/kartor/A 7791-2024 karta.png", "A 7791-2024")</f>
        <v/>
      </c>
      <c r="V21">
        <f>HYPERLINK("https://klasma.github.io/Logging_1907/klagomål/A 7791-2024 FSC-klagomål.docx", "A 7791-2024")</f>
        <v/>
      </c>
      <c r="W21">
        <f>HYPERLINK("https://klasma.github.io/Logging_1907/klagomålsmail/A 7791-2024 FSC-klagomål mail.docx", "A 7791-2024")</f>
        <v/>
      </c>
      <c r="X21">
        <f>HYPERLINK("https://klasma.github.io/Logging_1907/tillsyn/A 7791-2024 tillsynsbegäran.docx", "A 7791-2024")</f>
        <v/>
      </c>
      <c r="Y21">
        <f>HYPERLINK("https://klasma.github.io/Logging_1907/tillsynsmail/A 7791-2024 tillsynsbegäran mail.docx", "A 7791-2024")</f>
        <v/>
      </c>
      <c r="Z21">
        <f>HYPERLINK("https://klasma.github.io/Logging_1907/fåglar/A 7791-2024 prioriterade fågelarter.docx", "A 7791-2024")</f>
        <v/>
      </c>
    </row>
    <row r="22" ht="15" customHeight="1">
      <c r="A22" t="inlineStr">
        <is>
          <t>A 44798-2024</t>
        </is>
      </c>
      <c r="B22" s="1" t="n">
        <v>45574</v>
      </c>
      <c r="C22" s="1" t="n">
        <v>45588</v>
      </c>
      <c r="D22" t="inlineStr">
        <is>
          <t>VÄSTMANLANDS LÄN</t>
        </is>
      </c>
      <c r="E22" t="inlineStr">
        <is>
          <t>SURAHAMMAR</t>
        </is>
      </c>
      <c r="F22" t="inlineStr">
        <is>
          <t>Bergvik skog väst AB</t>
        </is>
      </c>
      <c r="G22" t="n">
        <v>4.4</v>
      </c>
      <c r="H22" t="n">
        <v>0</v>
      </c>
      <c r="I22" t="n">
        <v>1</v>
      </c>
      <c r="J22" t="n">
        <v>4</v>
      </c>
      <c r="K22" t="n">
        <v>1</v>
      </c>
      <c r="L22" t="n">
        <v>0</v>
      </c>
      <c r="M22" t="n">
        <v>0</v>
      </c>
      <c r="N22" t="n">
        <v>0</v>
      </c>
      <c r="O22" t="n">
        <v>5</v>
      </c>
      <c r="P22" t="n">
        <v>1</v>
      </c>
      <c r="Q22" t="n">
        <v>6</v>
      </c>
      <c r="R22" s="2" t="inlineStr">
        <is>
          <t>Rosetticka
Brunklöver
Persiljespindling
Svinrot
Ullticka
Brandticka</t>
        </is>
      </c>
      <c r="S22">
        <f>HYPERLINK("https://klasma.github.io/Logging_1907/artfynd/A 44798-2024 artfynd.xlsx", "A 44798-2024")</f>
        <v/>
      </c>
      <c r="T22">
        <f>HYPERLINK("https://klasma.github.io/Logging_1907/kartor/A 44798-2024 karta.png", "A 44798-2024")</f>
        <v/>
      </c>
      <c r="V22">
        <f>HYPERLINK("https://klasma.github.io/Logging_1907/klagomål/A 44798-2024 FSC-klagomål.docx", "A 44798-2024")</f>
        <v/>
      </c>
      <c r="W22">
        <f>HYPERLINK("https://klasma.github.io/Logging_1907/klagomålsmail/A 44798-2024 FSC-klagomål mail.docx", "A 44798-2024")</f>
        <v/>
      </c>
      <c r="X22">
        <f>HYPERLINK("https://klasma.github.io/Logging_1907/tillsyn/A 44798-2024 tillsynsbegäran.docx", "A 44798-2024")</f>
        <v/>
      </c>
      <c r="Y22">
        <f>HYPERLINK("https://klasma.github.io/Logging_1907/tillsynsmail/A 44798-2024 tillsynsbegäran mail.docx", "A 44798-2024")</f>
        <v/>
      </c>
    </row>
    <row r="23" ht="15" customHeight="1">
      <c r="A23" t="inlineStr">
        <is>
          <t>A 56299-2021</t>
        </is>
      </c>
      <c r="B23" s="1" t="n">
        <v>44477</v>
      </c>
      <c r="C23" s="1" t="n">
        <v>45588</v>
      </c>
      <c r="D23" t="inlineStr">
        <is>
          <t>VÄSTMANLANDS LÄN</t>
        </is>
      </c>
      <c r="E23" t="inlineStr">
        <is>
          <t>SURAHAMMAR</t>
        </is>
      </c>
      <c r="F23" t="inlineStr">
        <is>
          <t>Bergvik skog väst AB</t>
        </is>
      </c>
      <c r="G23" t="n">
        <v>8</v>
      </c>
      <c r="H23" t="n">
        <v>1</v>
      </c>
      <c r="I23" t="n">
        <v>3</v>
      </c>
      <c r="J23" t="n">
        <v>2</v>
      </c>
      <c r="K23" t="n">
        <v>0</v>
      </c>
      <c r="L23" t="n">
        <v>0</v>
      </c>
      <c r="M23" t="n">
        <v>0</v>
      </c>
      <c r="N23" t="n">
        <v>0</v>
      </c>
      <c r="O23" t="n">
        <v>2</v>
      </c>
      <c r="P23" t="n">
        <v>0</v>
      </c>
      <c r="Q23" t="n">
        <v>5</v>
      </c>
      <c r="R23" s="2" t="inlineStr">
        <is>
          <t>Större flatbagge
Tretåig hackspett
Björksplintborre
Korallblylav
Skinnlav</t>
        </is>
      </c>
      <c r="S23">
        <f>HYPERLINK("https://klasma.github.io/Logging_1907/artfynd/A 56299-2021 artfynd.xlsx", "A 56299-2021")</f>
        <v/>
      </c>
      <c r="T23">
        <f>HYPERLINK("https://klasma.github.io/Logging_1907/kartor/A 56299-2021 karta.png", "A 56299-2021")</f>
        <v/>
      </c>
      <c r="V23">
        <f>HYPERLINK("https://klasma.github.io/Logging_1907/klagomål/A 56299-2021 FSC-klagomål.docx", "A 56299-2021")</f>
        <v/>
      </c>
      <c r="W23">
        <f>HYPERLINK("https://klasma.github.io/Logging_1907/klagomålsmail/A 56299-2021 FSC-klagomål mail.docx", "A 56299-2021")</f>
        <v/>
      </c>
      <c r="X23">
        <f>HYPERLINK("https://klasma.github.io/Logging_1907/tillsyn/A 56299-2021 tillsynsbegäran.docx", "A 56299-2021")</f>
        <v/>
      </c>
      <c r="Y23">
        <f>HYPERLINK("https://klasma.github.io/Logging_1907/tillsynsmail/A 56299-2021 tillsynsbegäran mail.docx", "A 56299-2021")</f>
        <v/>
      </c>
      <c r="Z23">
        <f>HYPERLINK("https://klasma.github.io/Logging_1907/fåglar/A 56299-2021 prioriterade fågelarter.docx", "A 56299-2021")</f>
        <v/>
      </c>
    </row>
    <row r="24" ht="15" customHeight="1">
      <c r="A24" t="inlineStr">
        <is>
          <t>A 13994-2023</t>
        </is>
      </c>
      <c r="B24" s="1" t="n">
        <v>45007</v>
      </c>
      <c r="C24" s="1" t="n">
        <v>45588</v>
      </c>
      <c r="D24" t="inlineStr">
        <is>
          <t>VÄSTMANLANDS LÄN</t>
        </is>
      </c>
      <c r="E24" t="inlineStr">
        <is>
          <t>SURAHAMMAR</t>
        </is>
      </c>
      <c r="F24" t="inlineStr">
        <is>
          <t>Bergvik skog väst AB</t>
        </is>
      </c>
      <c r="G24" t="n">
        <v>14.2</v>
      </c>
      <c r="H24" t="n">
        <v>2</v>
      </c>
      <c r="I24" t="n">
        <v>2</v>
      </c>
      <c r="J24" t="n">
        <v>1</v>
      </c>
      <c r="K24" t="n">
        <v>1</v>
      </c>
      <c r="L24" t="n">
        <v>0</v>
      </c>
      <c r="M24" t="n">
        <v>0</v>
      </c>
      <c r="N24" t="n">
        <v>0</v>
      </c>
      <c r="O24" t="n">
        <v>2</v>
      </c>
      <c r="P24" t="n">
        <v>1</v>
      </c>
      <c r="Q24" t="n">
        <v>5</v>
      </c>
      <c r="R24" s="2" t="inlineStr">
        <is>
          <t>Knärot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row>
    <row r="25" ht="15" customHeight="1">
      <c r="A25" t="inlineStr">
        <is>
          <t>A 35620-2023</t>
        </is>
      </c>
      <c r="B25" s="1" t="n">
        <v>45147</v>
      </c>
      <c r="C25" s="1" t="n">
        <v>45588</v>
      </c>
      <c r="D25" t="inlineStr">
        <is>
          <t>VÄSTMANLANDS LÄN</t>
        </is>
      </c>
      <c r="E25" t="inlineStr">
        <is>
          <t>SURAHAMMAR</t>
        </is>
      </c>
      <c r="G25" t="n">
        <v>20.3</v>
      </c>
      <c r="H25" t="n">
        <v>4</v>
      </c>
      <c r="I25" t="n">
        <v>1</v>
      </c>
      <c r="J25" t="n">
        <v>0</v>
      </c>
      <c r="K25" t="n">
        <v>1</v>
      </c>
      <c r="L25" t="n">
        <v>0</v>
      </c>
      <c r="M25" t="n">
        <v>0</v>
      </c>
      <c r="N25" t="n">
        <v>0</v>
      </c>
      <c r="O25" t="n">
        <v>1</v>
      </c>
      <c r="P25" t="n">
        <v>1</v>
      </c>
      <c r="Q25" t="n">
        <v>5</v>
      </c>
      <c r="R25" s="2" t="inlineStr">
        <is>
          <t>Knärot
Vedticka
Sparvuggla
Blåsippa
Lopplummer</t>
        </is>
      </c>
      <c r="S25">
        <f>HYPERLINK("https://klasma.github.io/Logging_1907/artfynd/A 35620-2023 artfynd.xlsx", "A 35620-2023")</f>
        <v/>
      </c>
      <c r="T25">
        <f>HYPERLINK("https://klasma.github.io/Logging_1907/kartor/A 35620-2023 karta.png", "A 35620-2023")</f>
        <v/>
      </c>
      <c r="U25">
        <f>HYPERLINK("https://klasma.github.io/Logging_1907/knärot/A 35620-2023 karta knärot.png", "A 35620-2023")</f>
        <v/>
      </c>
      <c r="V25">
        <f>HYPERLINK("https://klasma.github.io/Logging_1907/klagomål/A 35620-2023 FSC-klagomål.docx", "A 35620-2023")</f>
        <v/>
      </c>
      <c r="W25">
        <f>HYPERLINK("https://klasma.github.io/Logging_1907/klagomålsmail/A 35620-2023 FSC-klagomål mail.docx", "A 35620-2023")</f>
        <v/>
      </c>
      <c r="X25">
        <f>HYPERLINK("https://klasma.github.io/Logging_1907/tillsyn/A 35620-2023 tillsynsbegäran.docx", "A 35620-2023")</f>
        <v/>
      </c>
      <c r="Y25">
        <f>HYPERLINK("https://klasma.github.io/Logging_1907/tillsynsmail/A 35620-2023 tillsynsbegäran mail.docx", "A 35620-2023")</f>
        <v/>
      </c>
      <c r="Z25">
        <f>HYPERLINK("https://klasma.github.io/Logging_1907/fåglar/A 35620-2023 prioriterade fågelarter.docx", "A 35620-2023")</f>
        <v/>
      </c>
    </row>
    <row r="26" ht="15" customHeight="1">
      <c r="A26" t="inlineStr">
        <is>
          <t>A 31280-2024</t>
        </is>
      </c>
      <c r="B26" s="1" t="n">
        <v>45504</v>
      </c>
      <c r="C26" s="1" t="n">
        <v>45588</v>
      </c>
      <c r="D26" t="inlineStr">
        <is>
          <t>VÄSTMANLANDS LÄN</t>
        </is>
      </c>
      <c r="E26" t="inlineStr">
        <is>
          <t>SURAHAMMAR</t>
        </is>
      </c>
      <c r="F26" t="inlineStr">
        <is>
          <t>Allmännings- och besparingsskogar</t>
        </is>
      </c>
      <c r="G26" t="n">
        <v>6.9</v>
      </c>
      <c r="H26" t="n">
        <v>2</v>
      </c>
      <c r="I26" t="n">
        <v>3</v>
      </c>
      <c r="J26" t="n">
        <v>0</v>
      </c>
      <c r="K26" t="n">
        <v>1</v>
      </c>
      <c r="L26" t="n">
        <v>0</v>
      </c>
      <c r="M26" t="n">
        <v>0</v>
      </c>
      <c r="N26" t="n">
        <v>0</v>
      </c>
      <c r="O26" t="n">
        <v>1</v>
      </c>
      <c r="P26" t="n">
        <v>1</v>
      </c>
      <c r="Q26" t="n">
        <v>5</v>
      </c>
      <c r="R26" s="2" t="inlineStr">
        <is>
          <t>Knärot
Grönpyrola
Mindre märgborre
Vedticka
Fläcknycklar</t>
        </is>
      </c>
      <c r="S26">
        <f>HYPERLINK("https://klasma.github.io/Logging_1907/artfynd/A 31280-2024 artfynd.xlsx", "A 31280-2024")</f>
        <v/>
      </c>
      <c r="T26">
        <f>HYPERLINK("https://klasma.github.io/Logging_1907/kartor/A 31280-2024 karta.png", "A 31280-2024")</f>
        <v/>
      </c>
      <c r="U26">
        <f>HYPERLINK("https://klasma.github.io/Logging_1907/knärot/A 31280-2024 karta knärot.png", "A 31280-2024")</f>
        <v/>
      </c>
      <c r="V26">
        <f>HYPERLINK("https://klasma.github.io/Logging_1907/klagomål/A 31280-2024 FSC-klagomål.docx", "A 31280-2024")</f>
        <v/>
      </c>
      <c r="W26">
        <f>HYPERLINK("https://klasma.github.io/Logging_1907/klagomålsmail/A 31280-2024 FSC-klagomål mail.docx", "A 31280-2024")</f>
        <v/>
      </c>
      <c r="X26">
        <f>HYPERLINK("https://klasma.github.io/Logging_1907/tillsyn/A 31280-2024 tillsynsbegäran.docx", "A 31280-2024")</f>
        <v/>
      </c>
      <c r="Y26">
        <f>HYPERLINK("https://klasma.github.io/Logging_1907/tillsynsmail/A 31280-2024 tillsynsbegäran mail.docx", "A 31280-2024")</f>
        <v/>
      </c>
    </row>
    <row r="27" ht="15" customHeight="1">
      <c r="A27" t="inlineStr">
        <is>
          <t>A 38172-2024</t>
        </is>
      </c>
      <c r="B27" s="1" t="n">
        <v>45545</v>
      </c>
      <c r="C27" s="1" t="n">
        <v>45588</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45588</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45588</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45588</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45588</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45588</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45588</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45588</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45588</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45588</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45588</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45588</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45588</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45588</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45588</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45588</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45588</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45588</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45588</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45588</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45588</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45588</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45588</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45588</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45588</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45588</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45588</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45588</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45588</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45588</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45588</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45588</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45588</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45588</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45588</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45588</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45588</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45588</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45588</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45588</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45588</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45588</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45588</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45588</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45588</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45588</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45588</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45588</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45588</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45588</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45588</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45588</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45588</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45588</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45588</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45588</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45588</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45588</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45588</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45588</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45588</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45588</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45588</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45588</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45588</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45588</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45588</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45588</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45588</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45588</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45588</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45588</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45588</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45588</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17946-2019</t>
        </is>
      </c>
      <c r="B101" s="1" t="n">
        <v>43557</v>
      </c>
      <c r="C101" s="1" t="n">
        <v>45588</v>
      </c>
      <c r="D101" t="inlineStr">
        <is>
          <t>VÄSTMANLANDS LÄN</t>
        </is>
      </c>
      <c r="E101" t="inlineStr">
        <is>
          <t>SURAHAMMAR</t>
        </is>
      </c>
      <c r="G101" t="n">
        <v>9.9</v>
      </c>
      <c r="H101" t="n">
        <v>0</v>
      </c>
      <c r="I101" t="n">
        <v>0</v>
      </c>
      <c r="J101" t="n">
        <v>0</v>
      </c>
      <c r="K101" t="n">
        <v>0</v>
      </c>
      <c r="L101" t="n">
        <v>0</v>
      </c>
      <c r="M101" t="n">
        <v>0</v>
      </c>
      <c r="N101" t="n">
        <v>0</v>
      </c>
      <c r="O101" t="n">
        <v>0</v>
      </c>
      <c r="P101" t="n">
        <v>0</v>
      </c>
      <c r="Q101" t="n">
        <v>0</v>
      </c>
      <c r="R101" s="2" t="inlineStr"/>
    </row>
    <row r="102" ht="15" customHeight="1">
      <c r="A102" t="inlineStr">
        <is>
          <t>A 18953-2019</t>
        </is>
      </c>
      <c r="B102" s="1" t="n">
        <v>43563</v>
      </c>
      <c r="C102" s="1" t="n">
        <v>45588</v>
      </c>
      <c r="D102" t="inlineStr">
        <is>
          <t>VÄSTMANLANDS LÄN</t>
        </is>
      </c>
      <c r="E102" t="inlineStr">
        <is>
          <t>SURAHAMMAR</t>
        </is>
      </c>
      <c r="F102" t="inlineStr">
        <is>
          <t>Övriga Aktiebolag</t>
        </is>
      </c>
      <c r="G102" t="n">
        <v>2.2</v>
      </c>
      <c r="H102" t="n">
        <v>0</v>
      </c>
      <c r="I102" t="n">
        <v>0</v>
      </c>
      <c r="J102" t="n">
        <v>0</v>
      </c>
      <c r="K102" t="n">
        <v>0</v>
      </c>
      <c r="L102" t="n">
        <v>0</v>
      </c>
      <c r="M102" t="n">
        <v>0</v>
      </c>
      <c r="N102" t="n">
        <v>0</v>
      </c>
      <c r="O102" t="n">
        <v>0</v>
      </c>
      <c r="P102" t="n">
        <v>0</v>
      </c>
      <c r="Q102" t="n">
        <v>0</v>
      </c>
      <c r="R102" s="2" t="inlineStr"/>
    </row>
    <row r="103" ht="15" customHeight="1">
      <c r="A103" t="inlineStr">
        <is>
          <t>A 18960-2019</t>
        </is>
      </c>
      <c r="B103" s="1" t="n">
        <v>43563</v>
      </c>
      <c r="C103" s="1" t="n">
        <v>45588</v>
      </c>
      <c r="D103" t="inlineStr">
        <is>
          <t>VÄSTMANLANDS LÄN</t>
        </is>
      </c>
      <c r="E103" t="inlineStr">
        <is>
          <t>SURAHAMMAR</t>
        </is>
      </c>
      <c r="F103" t="inlineStr">
        <is>
          <t>Övriga Aktiebolag</t>
        </is>
      </c>
      <c r="G103" t="n">
        <v>4.1</v>
      </c>
      <c r="H103" t="n">
        <v>0</v>
      </c>
      <c r="I103" t="n">
        <v>0</v>
      </c>
      <c r="J103" t="n">
        <v>0</v>
      </c>
      <c r="K103" t="n">
        <v>0</v>
      </c>
      <c r="L103" t="n">
        <v>0</v>
      </c>
      <c r="M103" t="n">
        <v>0</v>
      </c>
      <c r="N103" t="n">
        <v>0</v>
      </c>
      <c r="O103" t="n">
        <v>0</v>
      </c>
      <c r="P103" t="n">
        <v>0</v>
      </c>
      <c r="Q103" t="n">
        <v>0</v>
      </c>
      <c r="R103" s="2" t="inlineStr"/>
    </row>
    <row r="104" ht="15" customHeight="1">
      <c r="A104" t="inlineStr">
        <is>
          <t>A 19659-2019</t>
        </is>
      </c>
      <c r="B104" s="1" t="n">
        <v>43566</v>
      </c>
      <c r="C104" s="1" t="n">
        <v>45588</v>
      </c>
      <c r="D104" t="inlineStr">
        <is>
          <t>VÄSTMANLANDS LÄN</t>
        </is>
      </c>
      <c r="E104" t="inlineStr">
        <is>
          <t>SURAHAMMAR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20127-2019</t>
        </is>
      </c>
      <c r="B105" s="1" t="n">
        <v>43570</v>
      </c>
      <c r="C105" s="1" t="n">
        <v>45588</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20904-2019</t>
        </is>
      </c>
      <c r="B106" s="1" t="n">
        <v>43578</v>
      </c>
      <c r="C106" s="1" t="n">
        <v>45588</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22834-2019</t>
        </is>
      </c>
      <c r="B107" s="1" t="n">
        <v>43591</v>
      </c>
      <c r="C107" s="1" t="n">
        <v>45588</v>
      </c>
      <c r="D107" t="inlineStr">
        <is>
          <t>VÄSTMANLANDS LÄN</t>
        </is>
      </c>
      <c r="E107" t="inlineStr">
        <is>
          <t>SURAHAMMAR</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28274-2019</t>
        </is>
      </c>
      <c r="B108" s="1" t="n">
        <v>43623</v>
      </c>
      <c r="C108" s="1" t="n">
        <v>45588</v>
      </c>
      <c r="D108" t="inlineStr">
        <is>
          <t>VÄSTMANLANDS LÄN</t>
        </is>
      </c>
      <c r="E108" t="inlineStr">
        <is>
          <t>SURAHAMMAR</t>
        </is>
      </c>
      <c r="F108" t="inlineStr">
        <is>
          <t>Allmännings- och besparingsskogar</t>
        </is>
      </c>
      <c r="G108" t="n">
        <v>0.7</v>
      </c>
      <c r="H108" t="n">
        <v>0</v>
      </c>
      <c r="I108" t="n">
        <v>0</v>
      </c>
      <c r="J108" t="n">
        <v>0</v>
      </c>
      <c r="K108" t="n">
        <v>0</v>
      </c>
      <c r="L108" t="n">
        <v>0</v>
      </c>
      <c r="M108" t="n">
        <v>0</v>
      </c>
      <c r="N108" t="n">
        <v>0</v>
      </c>
      <c r="O108" t="n">
        <v>0</v>
      </c>
      <c r="P108" t="n">
        <v>0</v>
      </c>
      <c r="Q108" t="n">
        <v>0</v>
      </c>
      <c r="R108" s="2" t="inlineStr"/>
    </row>
    <row r="109" ht="15" customHeight="1">
      <c r="A109" t="inlineStr">
        <is>
          <t>A 29523-2019</t>
        </is>
      </c>
      <c r="B109" s="1" t="n">
        <v>43630</v>
      </c>
      <c r="C109" s="1" t="n">
        <v>45588</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31008-2019</t>
        </is>
      </c>
      <c r="B110" s="1" t="n">
        <v>43640</v>
      </c>
      <c r="C110" s="1" t="n">
        <v>45588</v>
      </c>
      <c r="D110" t="inlineStr">
        <is>
          <t>VÄSTMANLANDS LÄN</t>
        </is>
      </c>
      <c r="E110" t="inlineStr">
        <is>
          <t>SURAHAMMAR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39552-2019</t>
        </is>
      </c>
      <c r="B111" s="1" t="n">
        <v>43691</v>
      </c>
      <c r="C111" s="1" t="n">
        <v>45588</v>
      </c>
      <c r="D111" t="inlineStr">
        <is>
          <t>VÄSTMANLANDS LÄN</t>
        </is>
      </c>
      <c r="E111" t="inlineStr">
        <is>
          <t>SURAHAMMAR</t>
        </is>
      </c>
      <c r="F111" t="inlineStr">
        <is>
          <t>Övriga Aktiebolag</t>
        </is>
      </c>
      <c r="G111" t="n">
        <v>4.4</v>
      </c>
      <c r="H111" t="n">
        <v>0</v>
      </c>
      <c r="I111" t="n">
        <v>0</v>
      </c>
      <c r="J111" t="n">
        <v>0</v>
      </c>
      <c r="K111" t="n">
        <v>0</v>
      </c>
      <c r="L111" t="n">
        <v>0</v>
      </c>
      <c r="M111" t="n">
        <v>0</v>
      </c>
      <c r="N111" t="n">
        <v>0</v>
      </c>
      <c r="O111" t="n">
        <v>0</v>
      </c>
      <c r="P111" t="n">
        <v>0</v>
      </c>
      <c r="Q111" t="n">
        <v>0</v>
      </c>
      <c r="R111" s="2" t="inlineStr"/>
    </row>
    <row r="112" ht="15" customHeight="1">
      <c r="A112" t="inlineStr">
        <is>
          <t>A 39754-2019</t>
        </is>
      </c>
      <c r="B112" s="1" t="n">
        <v>43692</v>
      </c>
      <c r="C112" s="1" t="n">
        <v>45588</v>
      </c>
      <c r="D112" t="inlineStr">
        <is>
          <t>VÄSTMANLANDS LÄN</t>
        </is>
      </c>
      <c r="E112" t="inlineStr">
        <is>
          <t>SURAHAMMAR</t>
        </is>
      </c>
      <c r="F112" t="inlineStr">
        <is>
          <t>Övriga Aktiebolag</t>
        </is>
      </c>
      <c r="G112" t="n">
        <v>5.7</v>
      </c>
      <c r="H112" t="n">
        <v>0</v>
      </c>
      <c r="I112" t="n">
        <v>0</v>
      </c>
      <c r="J112" t="n">
        <v>0</v>
      </c>
      <c r="K112" t="n">
        <v>0</v>
      </c>
      <c r="L112" t="n">
        <v>0</v>
      </c>
      <c r="M112" t="n">
        <v>0</v>
      </c>
      <c r="N112" t="n">
        <v>0</v>
      </c>
      <c r="O112" t="n">
        <v>0</v>
      </c>
      <c r="P112" t="n">
        <v>0</v>
      </c>
      <c r="Q112" t="n">
        <v>0</v>
      </c>
      <c r="R112" s="2" t="inlineStr"/>
    </row>
    <row r="113" ht="15" customHeight="1">
      <c r="A113" t="inlineStr">
        <is>
          <t>A 40191-2019</t>
        </is>
      </c>
      <c r="B113" s="1" t="n">
        <v>43693</v>
      </c>
      <c r="C113" s="1" t="n">
        <v>45588</v>
      </c>
      <c r="D113" t="inlineStr">
        <is>
          <t>VÄSTMANLANDS LÄN</t>
        </is>
      </c>
      <c r="E113" t="inlineStr">
        <is>
          <t>SURAHAMMAR</t>
        </is>
      </c>
      <c r="F113" t="inlineStr">
        <is>
          <t>Bergvik skog väst AB</t>
        </is>
      </c>
      <c r="G113" t="n">
        <v>3.5</v>
      </c>
      <c r="H113" t="n">
        <v>0</v>
      </c>
      <c r="I113" t="n">
        <v>0</v>
      </c>
      <c r="J113" t="n">
        <v>0</v>
      </c>
      <c r="K113" t="n">
        <v>0</v>
      </c>
      <c r="L113" t="n">
        <v>0</v>
      </c>
      <c r="M113" t="n">
        <v>0</v>
      </c>
      <c r="N113" t="n">
        <v>0</v>
      </c>
      <c r="O113" t="n">
        <v>0</v>
      </c>
      <c r="P113" t="n">
        <v>0</v>
      </c>
      <c r="Q113" t="n">
        <v>0</v>
      </c>
      <c r="R113" s="2" t="inlineStr"/>
    </row>
    <row r="114" ht="15" customHeight="1">
      <c r="A114" t="inlineStr">
        <is>
          <t>A 60343-2019</t>
        </is>
      </c>
      <c r="B114" s="1" t="n">
        <v>43780</v>
      </c>
      <c r="C114" s="1" t="n">
        <v>45588</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64772-2019</t>
        </is>
      </c>
      <c r="B115" s="1" t="n">
        <v>43801</v>
      </c>
      <c r="C115" s="1" t="n">
        <v>45588</v>
      </c>
      <c r="D115" t="inlineStr">
        <is>
          <t>VÄSTMANLANDS LÄN</t>
        </is>
      </c>
      <c r="E115" t="inlineStr">
        <is>
          <t>SURAHAMMAR</t>
        </is>
      </c>
      <c r="F115" t="inlineStr">
        <is>
          <t>Övriga Aktiebolag</t>
        </is>
      </c>
      <c r="G115" t="n">
        <v>7</v>
      </c>
      <c r="H115" t="n">
        <v>0</v>
      </c>
      <c r="I115" t="n">
        <v>0</v>
      </c>
      <c r="J115" t="n">
        <v>0</v>
      </c>
      <c r="K115" t="n">
        <v>0</v>
      </c>
      <c r="L115" t="n">
        <v>0</v>
      </c>
      <c r="M115" t="n">
        <v>0</v>
      </c>
      <c r="N115" t="n">
        <v>0</v>
      </c>
      <c r="O115" t="n">
        <v>0</v>
      </c>
      <c r="P115" t="n">
        <v>0</v>
      </c>
      <c r="Q115" t="n">
        <v>0</v>
      </c>
      <c r="R115" s="2" t="inlineStr"/>
    </row>
    <row r="116" ht="15" customHeight="1">
      <c r="A116" t="inlineStr">
        <is>
          <t>A 66269-2019</t>
        </is>
      </c>
      <c r="B116" s="1" t="n">
        <v>43802</v>
      </c>
      <c r="C116" s="1" t="n">
        <v>45588</v>
      </c>
      <c r="D116" t="inlineStr">
        <is>
          <t>VÄSTMANLANDS LÄN</t>
        </is>
      </c>
      <c r="E116" t="inlineStr">
        <is>
          <t>SURAHAMMAR</t>
        </is>
      </c>
      <c r="G116" t="n">
        <v>0.9</v>
      </c>
      <c r="H116" t="n">
        <v>0</v>
      </c>
      <c r="I116" t="n">
        <v>0</v>
      </c>
      <c r="J116" t="n">
        <v>0</v>
      </c>
      <c r="K116" t="n">
        <v>0</v>
      </c>
      <c r="L116" t="n">
        <v>0</v>
      </c>
      <c r="M116" t="n">
        <v>0</v>
      </c>
      <c r="N116" t="n">
        <v>0</v>
      </c>
      <c r="O116" t="n">
        <v>0</v>
      </c>
      <c r="P116" t="n">
        <v>0</v>
      </c>
      <c r="Q116" t="n">
        <v>0</v>
      </c>
      <c r="R116" s="2" t="inlineStr"/>
    </row>
    <row r="117" ht="15" customHeight="1">
      <c r="A117" t="inlineStr">
        <is>
          <t>A 65619-2019</t>
        </is>
      </c>
      <c r="B117" s="1" t="n">
        <v>43804</v>
      </c>
      <c r="C117" s="1" t="n">
        <v>45588</v>
      </c>
      <c r="D117" t="inlineStr">
        <is>
          <t>VÄSTMANLANDS LÄN</t>
        </is>
      </c>
      <c r="E117" t="inlineStr">
        <is>
          <t>SURAHAMMAR</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2039-2020</t>
        </is>
      </c>
      <c r="B118" s="1" t="n">
        <v>43839</v>
      </c>
      <c r="C118" s="1" t="n">
        <v>45588</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5804-2020</t>
        </is>
      </c>
      <c r="B119" s="1" t="n">
        <v>43864</v>
      </c>
      <c r="C119" s="1" t="n">
        <v>45588</v>
      </c>
      <c r="D119" t="inlineStr">
        <is>
          <t>VÄSTMANLANDS LÄN</t>
        </is>
      </c>
      <c r="E119" t="inlineStr">
        <is>
          <t>SURAHAMMAR</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8608-2020</t>
        </is>
      </c>
      <c r="B120" s="1" t="n">
        <v>43878</v>
      </c>
      <c r="C120" s="1" t="n">
        <v>45588</v>
      </c>
      <c r="D120" t="inlineStr">
        <is>
          <t>VÄSTMANLANDS LÄN</t>
        </is>
      </c>
      <c r="E120" t="inlineStr">
        <is>
          <t>SURAHAMMAR</t>
        </is>
      </c>
      <c r="F120" t="inlineStr">
        <is>
          <t>Övriga Aktiebolag</t>
        </is>
      </c>
      <c r="G120" t="n">
        <v>20.2</v>
      </c>
      <c r="H120" t="n">
        <v>0</v>
      </c>
      <c r="I120" t="n">
        <v>0</v>
      </c>
      <c r="J120" t="n">
        <v>0</v>
      </c>
      <c r="K120" t="n">
        <v>0</v>
      </c>
      <c r="L120" t="n">
        <v>0</v>
      </c>
      <c r="M120" t="n">
        <v>0</v>
      </c>
      <c r="N120" t="n">
        <v>0</v>
      </c>
      <c r="O120" t="n">
        <v>0</v>
      </c>
      <c r="P120" t="n">
        <v>0</v>
      </c>
      <c r="Q120" t="n">
        <v>0</v>
      </c>
      <c r="R120" s="2" t="inlineStr"/>
    </row>
    <row r="121" ht="15" customHeight="1">
      <c r="A121" t="inlineStr">
        <is>
          <t>A 40660-2020</t>
        </is>
      </c>
      <c r="B121" s="1" t="n">
        <v>44069</v>
      </c>
      <c r="C121" s="1" t="n">
        <v>45588</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43171-2020</t>
        </is>
      </c>
      <c r="B122" s="1" t="n">
        <v>44081</v>
      </c>
      <c r="C122" s="1" t="n">
        <v>45588</v>
      </c>
      <c r="D122" t="inlineStr">
        <is>
          <t>VÄSTMANLANDS LÄN</t>
        </is>
      </c>
      <c r="E122" t="inlineStr">
        <is>
          <t>SURAHAMMAR</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43174-2020</t>
        </is>
      </c>
      <c r="B123" s="1" t="n">
        <v>44081</v>
      </c>
      <c r="C123" s="1" t="n">
        <v>45588</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43177-2020</t>
        </is>
      </c>
      <c r="B124" s="1" t="n">
        <v>44081</v>
      </c>
      <c r="C124" s="1" t="n">
        <v>45588</v>
      </c>
      <c r="D124" t="inlineStr">
        <is>
          <t>VÄSTMANLANDS LÄN</t>
        </is>
      </c>
      <c r="E124" t="inlineStr">
        <is>
          <t>SURAHAMMAR</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43590-2020</t>
        </is>
      </c>
      <c r="B125" s="1" t="n">
        <v>44082</v>
      </c>
      <c r="C125" s="1" t="n">
        <v>45588</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47997-2020</t>
        </is>
      </c>
      <c r="B126" s="1" t="n">
        <v>44099</v>
      </c>
      <c r="C126" s="1" t="n">
        <v>45588</v>
      </c>
      <c r="D126" t="inlineStr">
        <is>
          <t>VÄSTMANLANDS LÄN</t>
        </is>
      </c>
      <c r="E126" t="inlineStr">
        <is>
          <t>SURAHAMMAR</t>
        </is>
      </c>
      <c r="G126" t="n">
        <v>4.8</v>
      </c>
      <c r="H126" t="n">
        <v>0</v>
      </c>
      <c r="I126" t="n">
        <v>0</v>
      </c>
      <c r="J126" t="n">
        <v>0</v>
      </c>
      <c r="K126" t="n">
        <v>0</v>
      </c>
      <c r="L126" t="n">
        <v>0</v>
      </c>
      <c r="M126" t="n">
        <v>0</v>
      </c>
      <c r="N126" t="n">
        <v>0</v>
      </c>
      <c r="O126" t="n">
        <v>0</v>
      </c>
      <c r="P126" t="n">
        <v>0</v>
      </c>
      <c r="Q126" t="n">
        <v>0</v>
      </c>
      <c r="R126" s="2" t="inlineStr"/>
    </row>
    <row r="127" ht="15" customHeight="1">
      <c r="A127" t="inlineStr">
        <is>
          <t>A 52076-2020</t>
        </is>
      </c>
      <c r="B127" s="1" t="n">
        <v>44117</v>
      </c>
      <c r="C127" s="1" t="n">
        <v>45588</v>
      </c>
      <c r="D127" t="inlineStr">
        <is>
          <t>VÄSTMANLANDS LÄN</t>
        </is>
      </c>
      <c r="E127" t="inlineStr">
        <is>
          <t>SURAHAMMAR</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52074-2020</t>
        </is>
      </c>
      <c r="B128" s="1" t="n">
        <v>44117</v>
      </c>
      <c r="C128" s="1" t="n">
        <v>45588</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54962-2020</t>
        </is>
      </c>
      <c r="B129" s="1" t="n">
        <v>44130</v>
      </c>
      <c r="C129" s="1" t="n">
        <v>45588</v>
      </c>
      <c r="D129" t="inlineStr">
        <is>
          <t>VÄSTMANLANDS LÄN</t>
        </is>
      </c>
      <c r="E129" t="inlineStr">
        <is>
          <t>SURAHAMMAR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55397-2020</t>
        </is>
      </c>
      <c r="B130" s="1" t="n">
        <v>44131</v>
      </c>
      <c r="C130" s="1" t="n">
        <v>45588</v>
      </c>
      <c r="D130" t="inlineStr">
        <is>
          <t>VÄSTMANLANDS LÄN</t>
        </is>
      </c>
      <c r="E130" t="inlineStr">
        <is>
          <t>SURAHAMMAR</t>
        </is>
      </c>
      <c r="F130" t="inlineStr">
        <is>
          <t>Sveaskog</t>
        </is>
      </c>
      <c r="G130" t="n">
        <v>5</v>
      </c>
      <c r="H130" t="n">
        <v>0</v>
      </c>
      <c r="I130" t="n">
        <v>0</v>
      </c>
      <c r="J130" t="n">
        <v>0</v>
      </c>
      <c r="K130" t="n">
        <v>0</v>
      </c>
      <c r="L130" t="n">
        <v>0</v>
      </c>
      <c r="M130" t="n">
        <v>0</v>
      </c>
      <c r="N130" t="n">
        <v>0</v>
      </c>
      <c r="O130" t="n">
        <v>0</v>
      </c>
      <c r="P130" t="n">
        <v>0</v>
      </c>
      <c r="Q130" t="n">
        <v>0</v>
      </c>
      <c r="R130" s="2" t="inlineStr"/>
    </row>
    <row r="131" ht="15" customHeight="1">
      <c r="A131" t="inlineStr">
        <is>
          <t>A 59543-2020</t>
        </is>
      </c>
      <c r="B131" s="1" t="n">
        <v>44148</v>
      </c>
      <c r="C131" s="1" t="n">
        <v>45588</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59740-2020</t>
        </is>
      </c>
      <c r="B132" s="1" t="n">
        <v>44151</v>
      </c>
      <c r="C132" s="1" t="n">
        <v>45588</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59727-2020</t>
        </is>
      </c>
      <c r="B133" s="1" t="n">
        <v>44151</v>
      </c>
      <c r="C133" s="1" t="n">
        <v>45588</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1492-2021</t>
        </is>
      </c>
      <c r="B134" s="1" t="n">
        <v>44209</v>
      </c>
      <c r="C134" s="1" t="n">
        <v>45588</v>
      </c>
      <c r="D134" t="inlineStr">
        <is>
          <t>VÄSTMANLANDS LÄN</t>
        </is>
      </c>
      <c r="E134" t="inlineStr">
        <is>
          <t>SURAHAMMAR</t>
        </is>
      </c>
      <c r="G134" t="n">
        <v>1.2</v>
      </c>
      <c r="H134" t="n">
        <v>0</v>
      </c>
      <c r="I134" t="n">
        <v>0</v>
      </c>
      <c r="J134" t="n">
        <v>0</v>
      </c>
      <c r="K134" t="n">
        <v>0</v>
      </c>
      <c r="L134" t="n">
        <v>0</v>
      </c>
      <c r="M134" t="n">
        <v>0</v>
      </c>
      <c r="N134" t="n">
        <v>0</v>
      </c>
      <c r="O134" t="n">
        <v>0</v>
      </c>
      <c r="P134" t="n">
        <v>0</v>
      </c>
      <c r="Q134" t="n">
        <v>0</v>
      </c>
      <c r="R134" s="2" t="inlineStr"/>
    </row>
    <row r="135" ht="15" customHeight="1">
      <c r="A135" t="inlineStr">
        <is>
          <t>A 18723-2021</t>
        </is>
      </c>
      <c r="B135" s="1" t="n">
        <v>44306</v>
      </c>
      <c r="C135" s="1" t="n">
        <v>45588</v>
      </c>
      <c r="D135" t="inlineStr">
        <is>
          <t>VÄSTMANLANDS LÄN</t>
        </is>
      </c>
      <c r="E135" t="inlineStr">
        <is>
          <t>SURAHAMMAR</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20478-2021</t>
        </is>
      </c>
      <c r="B136" s="1" t="n">
        <v>44315</v>
      </c>
      <c r="C136" s="1" t="n">
        <v>45588</v>
      </c>
      <c r="D136" t="inlineStr">
        <is>
          <t>VÄSTMANLANDS LÄN</t>
        </is>
      </c>
      <c r="E136" t="inlineStr">
        <is>
          <t>SURAHAMMAR</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21839-2021</t>
        </is>
      </c>
      <c r="B137" s="1" t="n">
        <v>44322</v>
      </c>
      <c r="C137" s="1" t="n">
        <v>45588</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24804-2021</t>
        </is>
      </c>
      <c r="B138" s="1" t="n">
        <v>44340</v>
      </c>
      <c r="C138" s="1" t="n">
        <v>45588</v>
      </c>
      <c r="D138" t="inlineStr">
        <is>
          <t>VÄSTMANLANDS LÄN</t>
        </is>
      </c>
      <c r="E138" t="inlineStr">
        <is>
          <t>SURAHAMMAR</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31468-2021</t>
        </is>
      </c>
      <c r="B139" s="1" t="n">
        <v>44369</v>
      </c>
      <c r="C139" s="1" t="n">
        <v>45588</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33998-2021</t>
        </is>
      </c>
      <c r="B140" s="1" t="n">
        <v>44378</v>
      </c>
      <c r="C140" s="1" t="n">
        <v>45588</v>
      </c>
      <c r="D140" t="inlineStr">
        <is>
          <t>VÄSTMANLANDS LÄN</t>
        </is>
      </c>
      <c r="E140" t="inlineStr">
        <is>
          <t>SURAHAMMAR</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34001-2021</t>
        </is>
      </c>
      <c r="B141" s="1" t="n">
        <v>44378</v>
      </c>
      <c r="C141" s="1" t="n">
        <v>45588</v>
      </c>
      <c r="D141" t="inlineStr">
        <is>
          <t>VÄSTMANLANDS LÄN</t>
        </is>
      </c>
      <c r="E141" t="inlineStr">
        <is>
          <t>SURAHAMMAR</t>
        </is>
      </c>
      <c r="F141" t="inlineStr">
        <is>
          <t>Bergvik skog väst AB</t>
        </is>
      </c>
      <c r="G141" t="n">
        <v>1.9</v>
      </c>
      <c r="H141" t="n">
        <v>0</v>
      </c>
      <c r="I141" t="n">
        <v>0</v>
      </c>
      <c r="J141" t="n">
        <v>0</v>
      </c>
      <c r="K141" t="n">
        <v>0</v>
      </c>
      <c r="L141" t="n">
        <v>0</v>
      </c>
      <c r="M141" t="n">
        <v>0</v>
      </c>
      <c r="N141" t="n">
        <v>0</v>
      </c>
      <c r="O141" t="n">
        <v>0</v>
      </c>
      <c r="P141" t="n">
        <v>0</v>
      </c>
      <c r="Q141" t="n">
        <v>0</v>
      </c>
      <c r="R141" s="2" t="inlineStr"/>
    </row>
    <row r="142" ht="15" customHeight="1">
      <c r="A142" t="inlineStr">
        <is>
          <t>A 37798-2021</t>
        </is>
      </c>
      <c r="B142" s="1" t="n">
        <v>44402</v>
      </c>
      <c r="C142" s="1" t="n">
        <v>45588</v>
      </c>
      <c r="D142" t="inlineStr">
        <is>
          <t>VÄSTMANLANDS LÄN</t>
        </is>
      </c>
      <c r="E142" t="inlineStr">
        <is>
          <t>SURAHAMMAR</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37799-2021</t>
        </is>
      </c>
      <c r="B143" s="1" t="n">
        <v>44402</v>
      </c>
      <c r="C143" s="1" t="n">
        <v>45588</v>
      </c>
      <c r="D143" t="inlineStr">
        <is>
          <t>VÄSTMANLANDS LÄN</t>
        </is>
      </c>
      <c r="E143" t="inlineStr">
        <is>
          <t>SURAHAMMAR</t>
        </is>
      </c>
      <c r="F143" t="inlineStr">
        <is>
          <t>Kommuner</t>
        </is>
      </c>
      <c r="G143" t="n">
        <v>2.1</v>
      </c>
      <c r="H143" t="n">
        <v>0</v>
      </c>
      <c r="I143" t="n">
        <v>0</v>
      </c>
      <c r="J143" t="n">
        <v>0</v>
      </c>
      <c r="K143" t="n">
        <v>0</v>
      </c>
      <c r="L143" t="n">
        <v>0</v>
      </c>
      <c r="M143" t="n">
        <v>0</v>
      </c>
      <c r="N143" t="n">
        <v>0</v>
      </c>
      <c r="O143" t="n">
        <v>0</v>
      </c>
      <c r="P143" t="n">
        <v>0</v>
      </c>
      <c r="Q143" t="n">
        <v>0</v>
      </c>
      <c r="R143" s="2" t="inlineStr"/>
    </row>
    <row r="144" ht="15" customHeight="1">
      <c r="A144" t="inlineStr">
        <is>
          <t>A 38150-2021</t>
        </is>
      </c>
      <c r="B144" s="1" t="n">
        <v>44405</v>
      </c>
      <c r="C144" s="1" t="n">
        <v>45588</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38178-2021</t>
        </is>
      </c>
      <c r="B145" s="1" t="n">
        <v>44405</v>
      </c>
      <c r="C145" s="1" t="n">
        <v>45588</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38149-2021</t>
        </is>
      </c>
      <c r="B146" s="1" t="n">
        <v>44405</v>
      </c>
      <c r="C146" s="1" t="n">
        <v>45588</v>
      </c>
      <c r="D146" t="inlineStr">
        <is>
          <t>VÄSTMANLANDS LÄN</t>
        </is>
      </c>
      <c r="E146" t="inlineStr">
        <is>
          <t>SURAHAMMAR</t>
        </is>
      </c>
      <c r="F146" t="inlineStr">
        <is>
          <t>Sveaskog</t>
        </is>
      </c>
      <c r="G146" t="n">
        <v>4.9</v>
      </c>
      <c r="H146" t="n">
        <v>0</v>
      </c>
      <c r="I146" t="n">
        <v>0</v>
      </c>
      <c r="J146" t="n">
        <v>0</v>
      </c>
      <c r="K146" t="n">
        <v>0</v>
      </c>
      <c r="L146" t="n">
        <v>0</v>
      </c>
      <c r="M146" t="n">
        <v>0</v>
      </c>
      <c r="N146" t="n">
        <v>0</v>
      </c>
      <c r="O146" t="n">
        <v>0</v>
      </c>
      <c r="P146" t="n">
        <v>0</v>
      </c>
      <c r="Q146" t="n">
        <v>0</v>
      </c>
      <c r="R146" s="2" t="inlineStr"/>
    </row>
    <row r="147" ht="15" customHeight="1">
      <c r="A147" t="inlineStr">
        <is>
          <t>A 38163-2021</t>
        </is>
      </c>
      <c r="B147" s="1" t="n">
        <v>44405</v>
      </c>
      <c r="C147" s="1" t="n">
        <v>45588</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38154-2021</t>
        </is>
      </c>
      <c r="B148" s="1" t="n">
        <v>44405</v>
      </c>
      <c r="C148" s="1" t="n">
        <v>45588</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47852-2021</t>
        </is>
      </c>
      <c r="B149" s="1" t="n">
        <v>44448</v>
      </c>
      <c r="C149" s="1" t="n">
        <v>45588</v>
      </c>
      <c r="D149" t="inlineStr">
        <is>
          <t>VÄSTMANLANDS LÄN</t>
        </is>
      </c>
      <c r="E149" t="inlineStr">
        <is>
          <t>SURAHAMMAR</t>
        </is>
      </c>
      <c r="G149" t="n">
        <v>4.1</v>
      </c>
      <c r="H149" t="n">
        <v>0</v>
      </c>
      <c r="I149" t="n">
        <v>0</v>
      </c>
      <c r="J149" t="n">
        <v>0</v>
      </c>
      <c r="K149" t="n">
        <v>0</v>
      </c>
      <c r="L149" t="n">
        <v>0</v>
      </c>
      <c r="M149" t="n">
        <v>0</v>
      </c>
      <c r="N149" t="n">
        <v>0</v>
      </c>
      <c r="O149" t="n">
        <v>0</v>
      </c>
      <c r="P149" t="n">
        <v>0</v>
      </c>
      <c r="Q149" t="n">
        <v>0</v>
      </c>
      <c r="R149" s="2" t="inlineStr"/>
    </row>
    <row r="150" ht="15" customHeight="1">
      <c r="A150" t="inlineStr">
        <is>
          <t>A 47785-2021</t>
        </is>
      </c>
      <c r="B150" s="1" t="n">
        <v>44448</v>
      </c>
      <c r="C150" s="1" t="n">
        <v>45588</v>
      </c>
      <c r="D150" t="inlineStr">
        <is>
          <t>VÄSTMANLANDS LÄN</t>
        </is>
      </c>
      <c r="E150" t="inlineStr">
        <is>
          <t>SURAHAMMAR</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64073-2021</t>
        </is>
      </c>
      <c r="B151" s="1" t="n">
        <v>44509</v>
      </c>
      <c r="C151" s="1" t="n">
        <v>45588</v>
      </c>
      <c r="D151" t="inlineStr">
        <is>
          <t>VÄSTMANLANDS LÄN</t>
        </is>
      </c>
      <c r="E151" t="inlineStr">
        <is>
          <t>SURAHAMMAR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66342-2021</t>
        </is>
      </c>
      <c r="B152" s="1" t="n">
        <v>44518</v>
      </c>
      <c r="C152" s="1" t="n">
        <v>45588</v>
      </c>
      <c r="D152" t="inlineStr">
        <is>
          <t>VÄSTMANLANDS LÄN</t>
        </is>
      </c>
      <c r="E152" t="inlineStr">
        <is>
          <t>SURAHAMMAR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66350-2021</t>
        </is>
      </c>
      <c r="B153" s="1" t="n">
        <v>44518</v>
      </c>
      <c r="C153" s="1" t="n">
        <v>45588</v>
      </c>
      <c r="D153" t="inlineStr">
        <is>
          <t>VÄSTMANLANDS LÄN</t>
        </is>
      </c>
      <c r="E153" t="inlineStr">
        <is>
          <t>SURAHAMMAR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67611-2021</t>
        </is>
      </c>
      <c r="B154" s="1" t="n">
        <v>44524</v>
      </c>
      <c r="C154" s="1" t="n">
        <v>45588</v>
      </c>
      <c r="D154" t="inlineStr">
        <is>
          <t>VÄSTMANLANDS LÄN</t>
        </is>
      </c>
      <c r="E154" t="inlineStr">
        <is>
          <t>SURAHAMMAR</t>
        </is>
      </c>
      <c r="F154" t="inlineStr">
        <is>
          <t>Kommuner</t>
        </is>
      </c>
      <c r="G154" t="n">
        <v>3.8</v>
      </c>
      <c r="H154" t="n">
        <v>0</v>
      </c>
      <c r="I154" t="n">
        <v>0</v>
      </c>
      <c r="J154" t="n">
        <v>0</v>
      </c>
      <c r="K154" t="n">
        <v>0</v>
      </c>
      <c r="L154" t="n">
        <v>0</v>
      </c>
      <c r="M154" t="n">
        <v>0</v>
      </c>
      <c r="N154" t="n">
        <v>0</v>
      </c>
      <c r="O154" t="n">
        <v>0</v>
      </c>
      <c r="P154" t="n">
        <v>0</v>
      </c>
      <c r="Q154" t="n">
        <v>0</v>
      </c>
      <c r="R154" s="2" t="inlineStr"/>
    </row>
    <row r="155" ht="15" customHeight="1">
      <c r="A155" t="inlineStr">
        <is>
          <t>A 72367-2021</t>
        </is>
      </c>
      <c r="B155" s="1" t="n">
        <v>44545</v>
      </c>
      <c r="C155" s="1" t="n">
        <v>45588</v>
      </c>
      <c r="D155" t="inlineStr">
        <is>
          <t>VÄSTMANLANDS LÄN</t>
        </is>
      </c>
      <c r="E155" t="inlineStr">
        <is>
          <t>SURAHAMMAR</t>
        </is>
      </c>
      <c r="G155" t="n">
        <v>2.5</v>
      </c>
      <c r="H155" t="n">
        <v>0</v>
      </c>
      <c r="I155" t="n">
        <v>0</v>
      </c>
      <c r="J155" t="n">
        <v>0</v>
      </c>
      <c r="K155" t="n">
        <v>0</v>
      </c>
      <c r="L155" t="n">
        <v>0</v>
      </c>
      <c r="M155" t="n">
        <v>0</v>
      </c>
      <c r="N155" t="n">
        <v>0</v>
      </c>
      <c r="O155" t="n">
        <v>0</v>
      </c>
      <c r="P155" t="n">
        <v>0</v>
      </c>
      <c r="Q155" t="n">
        <v>0</v>
      </c>
      <c r="R155" s="2" t="inlineStr"/>
    </row>
    <row r="156" ht="15" customHeight="1">
      <c r="A156" t="inlineStr">
        <is>
          <t>A 73156-2021</t>
        </is>
      </c>
      <c r="B156" s="1" t="n">
        <v>44550</v>
      </c>
      <c r="C156" s="1" t="n">
        <v>45588</v>
      </c>
      <c r="D156" t="inlineStr">
        <is>
          <t>VÄSTMANLANDS LÄN</t>
        </is>
      </c>
      <c r="E156" t="inlineStr">
        <is>
          <t>SURAHAMMAR</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3155-2022</t>
        </is>
      </c>
      <c r="B157" s="1" t="n">
        <v>44582</v>
      </c>
      <c r="C157" s="1" t="n">
        <v>45588</v>
      </c>
      <c r="D157" t="inlineStr">
        <is>
          <t>VÄSTMANLANDS LÄN</t>
        </is>
      </c>
      <c r="E157" t="inlineStr">
        <is>
          <t>SURAHAMMAR</t>
        </is>
      </c>
      <c r="G157" t="n">
        <v>5.5</v>
      </c>
      <c r="H157" t="n">
        <v>0</v>
      </c>
      <c r="I157" t="n">
        <v>0</v>
      </c>
      <c r="J157" t="n">
        <v>0</v>
      </c>
      <c r="K157" t="n">
        <v>0</v>
      </c>
      <c r="L157" t="n">
        <v>0</v>
      </c>
      <c r="M157" t="n">
        <v>0</v>
      </c>
      <c r="N157" t="n">
        <v>0</v>
      </c>
      <c r="O157" t="n">
        <v>0</v>
      </c>
      <c r="P157" t="n">
        <v>0</v>
      </c>
      <c r="Q157" t="n">
        <v>0</v>
      </c>
      <c r="R157" s="2" t="inlineStr"/>
    </row>
    <row r="158" ht="15" customHeight="1">
      <c r="A158" t="inlineStr">
        <is>
          <t>A 3595-2022</t>
        </is>
      </c>
      <c r="B158" s="1" t="n">
        <v>44586</v>
      </c>
      <c r="C158" s="1" t="n">
        <v>45588</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3818-2022</t>
        </is>
      </c>
      <c r="B159" s="1" t="n">
        <v>44587</v>
      </c>
      <c r="C159" s="1" t="n">
        <v>45588</v>
      </c>
      <c r="D159" t="inlineStr">
        <is>
          <t>VÄSTMANLANDS LÄN</t>
        </is>
      </c>
      <c r="E159" t="inlineStr">
        <is>
          <t>SURAHAMMAR</t>
        </is>
      </c>
      <c r="G159" t="n">
        <v>2.6</v>
      </c>
      <c r="H159" t="n">
        <v>0</v>
      </c>
      <c r="I159" t="n">
        <v>0</v>
      </c>
      <c r="J159" t="n">
        <v>0</v>
      </c>
      <c r="K159" t="n">
        <v>0</v>
      </c>
      <c r="L159" t="n">
        <v>0</v>
      </c>
      <c r="M159" t="n">
        <v>0</v>
      </c>
      <c r="N159" t="n">
        <v>0</v>
      </c>
      <c r="O159" t="n">
        <v>0</v>
      </c>
      <c r="P159" t="n">
        <v>0</v>
      </c>
      <c r="Q159" t="n">
        <v>0</v>
      </c>
      <c r="R159" s="2" t="inlineStr"/>
    </row>
    <row r="160" ht="15" customHeight="1">
      <c r="A160" t="inlineStr">
        <is>
          <t>A 5567-2022</t>
        </is>
      </c>
      <c r="B160" s="1" t="n">
        <v>44595</v>
      </c>
      <c r="C160" s="1" t="n">
        <v>45588</v>
      </c>
      <c r="D160" t="inlineStr">
        <is>
          <t>VÄSTMANLANDS LÄN</t>
        </is>
      </c>
      <c r="E160" t="inlineStr">
        <is>
          <t>SURAHAMMAR</t>
        </is>
      </c>
      <c r="G160" t="n">
        <v>1.3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v>
      </c>
      <c r="C161" s="1" t="n">
        <v>45588</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13119-2022</t>
        </is>
      </c>
      <c r="B162" s="1" t="n">
        <v>44643</v>
      </c>
      <c r="C162" s="1" t="n">
        <v>45588</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13070-2022</t>
        </is>
      </c>
      <c r="B163" s="1" t="n">
        <v>44643</v>
      </c>
      <c r="C163" s="1" t="n">
        <v>45588</v>
      </c>
      <c r="D163" t="inlineStr">
        <is>
          <t>VÄSTMANLANDS LÄN</t>
        </is>
      </c>
      <c r="E163" t="inlineStr">
        <is>
          <t>SURAHAMMAR</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v>
      </c>
      <c r="C164" s="1" t="n">
        <v>45588</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45588</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19099-2022</t>
        </is>
      </c>
      <c r="B166" s="1" t="n">
        <v>44691</v>
      </c>
      <c r="C166" s="1" t="n">
        <v>45588</v>
      </c>
      <c r="D166" t="inlineStr">
        <is>
          <t>VÄSTMANLANDS LÄN</t>
        </is>
      </c>
      <c r="E166" t="inlineStr">
        <is>
          <t>SURAHAMMAR</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19637-2022</t>
        </is>
      </c>
      <c r="B167" s="1" t="n">
        <v>44694</v>
      </c>
      <c r="C167" s="1" t="n">
        <v>45588</v>
      </c>
      <c r="D167" t="inlineStr">
        <is>
          <t>VÄSTMANLANDS LÄN</t>
        </is>
      </c>
      <c r="E167" t="inlineStr">
        <is>
          <t>SURAHAMMAR</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19844-2022</t>
        </is>
      </c>
      <c r="B168" s="1" t="n">
        <v>44696</v>
      </c>
      <c r="C168" s="1" t="n">
        <v>45588</v>
      </c>
      <c r="D168" t="inlineStr">
        <is>
          <t>VÄSTMANLANDS LÄN</t>
        </is>
      </c>
      <c r="E168" t="inlineStr">
        <is>
          <t>SURAHAMMAR</t>
        </is>
      </c>
      <c r="F168" t="inlineStr">
        <is>
          <t>Kommuner</t>
        </is>
      </c>
      <c r="G168" t="n">
        <v>2.1</v>
      </c>
      <c r="H168" t="n">
        <v>0</v>
      </c>
      <c r="I168" t="n">
        <v>0</v>
      </c>
      <c r="J168" t="n">
        <v>0</v>
      </c>
      <c r="K168" t="n">
        <v>0</v>
      </c>
      <c r="L168" t="n">
        <v>0</v>
      </c>
      <c r="M168" t="n">
        <v>0</v>
      </c>
      <c r="N168" t="n">
        <v>0</v>
      </c>
      <c r="O168" t="n">
        <v>0</v>
      </c>
      <c r="P168" t="n">
        <v>0</v>
      </c>
      <c r="Q168" t="n">
        <v>0</v>
      </c>
      <c r="R168" s="2" t="inlineStr"/>
    </row>
    <row r="169" ht="15" customHeight="1">
      <c r="A169" t="inlineStr">
        <is>
          <t>A 19845-2022</t>
        </is>
      </c>
      <c r="B169" s="1" t="n">
        <v>44696</v>
      </c>
      <c r="C169" s="1" t="n">
        <v>45588</v>
      </c>
      <c r="D169" t="inlineStr">
        <is>
          <t>VÄSTMANLANDS LÄN</t>
        </is>
      </c>
      <c r="E169" t="inlineStr">
        <is>
          <t>SURAHAMMAR</t>
        </is>
      </c>
      <c r="F169" t="inlineStr">
        <is>
          <t>Kommuner</t>
        </is>
      </c>
      <c r="G169" t="n">
        <v>3.3</v>
      </c>
      <c r="H169" t="n">
        <v>0</v>
      </c>
      <c r="I169" t="n">
        <v>0</v>
      </c>
      <c r="J169" t="n">
        <v>0</v>
      </c>
      <c r="K169" t="n">
        <v>0</v>
      </c>
      <c r="L169" t="n">
        <v>0</v>
      </c>
      <c r="M169" t="n">
        <v>0</v>
      </c>
      <c r="N169" t="n">
        <v>0</v>
      </c>
      <c r="O169" t="n">
        <v>0</v>
      </c>
      <c r="P169" t="n">
        <v>0</v>
      </c>
      <c r="Q169" t="n">
        <v>0</v>
      </c>
      <c r="R169" s="2" t="inlineStr"/>
    </row>
    <row r="170" ht="15" customHeight="1">
      <c r="A170" t="inlineStr">
        <is>
          <t>A 19846-2022</t>
        </is>
      </c>
      <c r="B170" s="1" t="n">
        <v>44696</v>
      </c>
      <c r="C170" s="1" t="n">
        <v>45588</v>
      </c>
      <c r="D170" t="inlineStr">
        <is>
          <t>VÄSTMANLANDS LÄN</t>
        </is>
      </c>
      <c r="E170" t="inlineStr">
        <is>
          <t>SURAHAMMAR</t>
        </is>
      </c>
      <c r="F170" t="inlineStr">
        <is>
          <t>Kommuner</t>
        </is>
      </c>
      <c r="G170" t="n">
        <v>3.4</v>
      </c>
      <c r="H170" t="n">
        <v>0</v>
      </c>
      <c r="I170" t="n">
        <v>0</v>
      </c>
      <c r="J170" t="n">
        <v>0</v>
      </c>
      <c r="K170" t="n">
        <v>0</v>
      </c>
      <c r="L170" t="n">
        <v>0</v>
      </c>
      <c r="M170" t="n">
        <v>0</v>
      </c>
      <c r="N170" t="n">
        <v>0</v>
      </c>
      <c r="O170" t="n">
        <v>0</v>
      </c>
      <c r="P170" t="n">
        <v>0</v>
      </c>
      <c r="Q170" t="n">
        <v>0</v>
      </c>
      <c r="R170" s="2" t="inlineStr"/>
    </row>
    <row r="171" ht="15" customHeight="1">
      <c r="A171" t="inlineStr">
        <is>
          <t>A 26700-2022</t>
        </is>
      </c>
      <c r="B171" s="1" t="n">
        <v>44739</v>
      </c>
      <c r="C171" s="1" t="n">
        <v>45588</v>
      </c>
      <c r="D171" t="inlineStr">
        <is>
          <t>VÄSTMANLANDS LÄN</t>
        </is>
      </c>
      <c r="E171" t="inlineStr">
        <is>
          <t>SURAHAMMAR</t>
        </is>
      </c>
      <c r="F171" t="inlineStr">
        <is>
          <t>Kommuner</t>
        </is>
      </c>
      <c r="G171" t="n">
        <v>3.1</v>
      </c>
      <c r="H171" t="n">
        <v>0</v>
      </c>
      <c r="I171" t="n">
        <v>0</v>
      </c>
      <c r="J171" t="n">
        <v>0</v>
      </c>
      <c r="K171" t="n">
        <v>0</v>
      </c>
      <c r="L171" t="n">
        <v>0</v>
      </c>
      <c r="M171" t="n">
        <v>0</v>
      </c>
      <c r="N171" t="n">
        <v>0</v>
      </c>
      <c r="O171" t="n">
        <v>0</v>
      </c>
      <c r="P171" t="n">
        <v>0</v>
      </c>
      <c r="Q171" t="n">
        <v>0</v>
      </c>
      <c r="R171" s="2" t="inlineStr"/>
    </row>
    <row r="172" ht="15" customHeight="1">
      <c r="A172" t="inlineStr">
        <is>
          <t>A 32475-2022</t>
        </is>
      </c>
      <c r="B172" s="1" t="n">
        <v>44782</v>
      </c>
      <c r="C172" s="1" t="n">
        <v>45588</v>
      </c>
      <c r="D172" t="inlineStr">
        <is>
          <t>VÄSTMANLANDS LÄN</t>
        </is>
      </c>
      <c r="E172" t="inlineStr">
        <is>
          <t>SURAHAMMAR</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32491-2022</t>
        </is>
      </c>
      <c r="B173" s="1" t="n">
        <v>44782</v>
      </c>
      <c r="C173" s="1" t="n">
        <v>45588</v>
      </c>
      <c r="D173" t="inlineStr">
        <is>
          <t>VÄSTMANLANDS LÄN</t>
        </is>
      </c>
      <c r="E173" t="inlineStr">
        <is>
          <t>SURAHAMMAR</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32492-2022</t>
        </is>
      </c>
      <c r="B174" s="1" t="n">
        <v>44782</v>
      </c>
      <c r="C174" s="1" t="n">
        <v>45588</v>
      </c>
      <c r="D174" t="inlineStr">
        <is>
          <t>VÄSTMANLANDS LÄN</t>
        </is>
      </c>
      <c r="E174" t="inlineStr">
        <is>
          <t>SURAHAMMAR</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33931-2022</t>
        </is>
      </c>
      <c r="B175" s="1" t="n">
        <v>44790</v>
      </c>
      <c r="C175" s="1" t="n">
        <v>45588</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33946-2022</t>
        </is>
      </c>
      <c r="B176" s="1" t="n">
        <v>44790</v>
      </c>
      <c r="C176" s="1" t="n">
        <v>45588</v>
      </c>
      <c r="D176" t="inlineStr">
        <is>
          <t>VÄSTMANLANDS LÄN</t>
        </is>
      </c>
      <c r="E176" t="inlineStr">
        <is>
          <t>SURAHAMMAR</t>
        </is>
      </c>
      <c r="G176" t="n">
        <v>2.3</v>
      </c>
      <c r="H176" t="n">
        <v>0</v>
      </c>
      <c r="I176" t="n">
        <v>0</v>
      </c>
      <c r="J176" t="n">
        <v>0</v>
      </c>
      <c r="K176" t="n">
        <v>0</v>
      </c>
      <c r="L176" t="n">
        <v>0</v>
      </c>
      <c r="M176" t="n">
        <v>0</v>
      </c>
      <c r="N176" t="n">
        <v>0</v>
      </c>
      <c r="O176" t="n">
        <v>0</v>
      </c>
      <c r="P176" t="n">
        <v>0</v>
      </c>
      <c r="Q176" t="n">
        <v>0</v>
      </c>
      <c r="R176" s="2" t="inlineStr"/>
    </row>
    <row r="177" ht="15" customHeight="1">
      <c r="A177" t="inlineStr">
        <is>
          <t>A 33953-2022</t>
        </is>
      </c>
      <c r="B177" s="1" t="n">
        <v>44790</v>
      </c>
      <c r="C177" s="1" t="n">
        <v>45588</v>
      </c>
      <c r="D177" t="inlineStr">
        <is>
          <t>VÄSTMANLANDS LÄN</t>
        </is>
      </c>
      <c r="E177" t="inlineStr">
        <is>
          <t>SURAHAMMAR</t>
        </is>
      </c>
      <c r="G177" t="n">
        <v>3</v>
      </c>
      <c r="H177" t="n">
        <v>0</v>
      </c>
      <c r="I177" t="n">
        <v>0</v>
      </c>
      <c r="J177" t="n">
        <v>0</v>
      </c>
      <c r="K177" t="n">
        <v>0</v>
      </c>
      <c r="L177" t="n">
        <v>0</v>
      </c>
      <c r="M177" t="n">
        <v>0</v>
      </c>
      <c r="N177" t="n">
        <v>0</v>
      </c>
      <c r="O177" t="n">
        <v>0</v>
      </c>
      <c r="P177" t="n">
        <v>0</v>
      </c>
      <c r="Q177" t="n">
        <v>0</v>
      </c>
      <c r="R177" s="2" t="inlineStr"/>
    </row>
    <row r="178" ht="15" customHeight="1">
      <c r="A178" t="inlineStr">
        <is>
          <t>A 34957-2022</t>
        </is>
      </c>
      <c r="B178" s="1" t="n">
        <v>44796</v>
      </c>
      <c r="C178" s="1" t="n">
        <v>45588</v>
      </c>
      <c r="D178" t="inlineStr">
        <is>
          <t>VÄSTMANLANDS LÄN</t>
        </is>
      </c>
      <c r="E178" t="inlineStr">
        <is>
          <t>SURAHAMMAR</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34955-2022</t>
        </is>
      </c>
      <c r="B179" s="1" t="n">
        <v>44796</v>
      </c>
      <c r="C179" s="1" t="n">
        <v>45588</v>
      </c>
      <c r="D179" t="inlineStr">
        <is>
          <t>VÄSTMANLANDS LÄN</t>
        </is>
      </c>
      <c r="E179" t="inlineStr">
        <is>
          <t>SURAHAMMAR</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34956-2022</t>
        </is>
      </c>
      <c r="B180" s="1" t="n">
        <v>44796</v>
      </c>
      <c r="C180" s="1" t="n">
        <v>45588</v>
      </c>
      <c r="D180" t="inlineStr">
        <is>
          <t>VÄSTMANLANDS LÄN</t>
        </is>
      </c>
      <c r="E180" t="inlineStr">
        <is>
          <t>SURAHAMMAR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35677-2022</t>
        </is>
      </c>
      <c r="B181" s="1" t="n">
        <v>44799</v>
      </c>
      <c r="C181" s="1" t="n">
        <v>45588</v>
      </c>
      <c r="D181" t="inlineStr">
        <is>
          <t>VÄSTMANLANDS LÄN</t>
        </is>
      </c>
      <c r="E181" t="inlineStr">
        <is>
          <t>SURAHAMMAR</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35682-2022</t>
        </is>
      </c>
      <c r="B182" s="1" t="n">
        <v>44799</v>
      </c>
      <c r="C182" s="1" t="n">
        <v>45588</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35679-2022</t>
        </is>
      </c>
      <c r="B183" s="1" t="n">
        <v>44799</v>
      </c>
      <c r="C183" s="1" t="n">
        <v>45588</v>
      </c>
      <c r="D183" t="inlineStr">
        <is>
          <t>VÄSTMANLANDS LÄN</t>
        </is>
      </c>
      <c r="E183" t="inlineStr">
        <is>
          <t>SURAHAMMAR</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41576-2022</t>
        </is>
      </c>
      <c r="B184" s="1" t="n">
        <v>44826</v>
      </c>
      <c r="C184" s="1" t="n">
        <v>45588</v>
      </c>
      <c r="D184" t="inlineStr">
        <is>
          <t>VÄSTMANLANDS LÄN</t>
        </is>
      </c>
      <c r="E184" t="inlineStr">
        <is>
          <t>SURAHAMMAR</t>
        </is>
      </c>
      <c r="F184" t="inlineStr">
        <is>
          <t>Bergvik skog väst AB</t>
        </is>
      </c>
      <c r="G184" t="n">
        <v>6.4</v>
      </c>
      <c r="H184" t="n">
        <v>0</v>
      </c>
      <c r="I184" t="n">
        <v>0</v>
      </c>
      <c r="J184" t="n">
        <v>0</v>
      </c>
      <c r="K184" t="n">
        <v>0</v>
      </c>
      <c r="L184" t="n">
        <v>0</v>
      </c>
      <c r="M184" t="n">
        <v>0</v>
      </c>
      <c r="N184" t="n">
        <v>0</v>
      </c>
      <c r="O184" t="n">
        <v>0</v>
      </c>
      <c r="P184" t="n">
        <v>0</v>
      </c>
      <c r="Q184" t="n">
        <v>0</v>
      </c>
      <c r="R184" s="2" t="inlineStr"/>
    </row>
    <row r="185" ht="15" customHeight="1">
      <c r="A185" t="inlineStr">
        <is>
          <t>A 41555-2022</t>
        </is>
      </c>
      <c r="B185" s="1" t="n">
        <v>44826</v>
      </c>
      <c r="C185" s="1" t="n">
        <v>45588</v>
      </c>
      <c r="D185" t="inlineStr">
        <is>
          <t>VÄSTMANLANDS LÄN</t>
        </is>
      </c>
      <c r="E185" t="inlineStr">
        <is>
          <t>SURAHAMMAR</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42714-2022</t>
        </is>
      </c>
      <c r="B186" s="1" t="n">
        <v>44832</v>
      </c>
      <c r="C186" s="1" t="n">
        <v>45588</v>
      </c>
      <c r="D186" t="inlineStr">
        <is>
          <t>VÄSTMANLANDS LÄN</t>
        </is>
      </c>
      <c r="E186" t="inlineStr">
        <is>
          <t>SURAHAMMAR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42832-2022</t>
        </is>
      </c>
      <c r="B187" s="1" t="n">
        <v>44832</v>
      </c>
      <c r="C187" s="1" t="n">
        <v>45588</v>
      </c>
      <c r="D187" t="inlineStr">
        <is>
          <t>VÄSTMANLANDS LÄN</t>
        </is>
      </c>
      <c r="E187" t="inlineStr">
        <is>
          <t>SURAHAMMAR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42841-2022</t>
        </is>
      </c>
      <c r="B188" s="1" t="n">
        <v>44832</v>
      </c>
      <c r="C188" s="1" t="n">
        <v>45588</v>
      </c>
      <c r="D188" t="inlineStr">
        <is>
          <t>VÄSTMANLANDS LÄN</t>
        </is>
      </c>
      <c r="E188" t="inlineStr">
        <is>
          <t>SURAHAMMAR</t>
        </is>
      </c>
      <c r="G188" t="n">
        <v>1.8</v>
      </c>
      <c r="H188" t="n">
        <v>0</v>
      </c>
      <c r="I188" t="n">
        <v>0</v>
      </c>
      <c r="J188" t="n">
        <v>0</v>
      </c>
      <c r="K188" t="n">
        <v>0</v>
      </c>
      <c r="L188" t="n">
        <v>0</v>
      </c>
      <c r="M188" t="n">
        <v>0</v>
      </c>
      <c r="N188" t="n">
        <v>0</v>
      </c>
      <c r="O188" t="n">
        <v>0</v>
      </c>
      <c r="P188" t="n">
        <v>0</v>
      </c>
      <c r="Q188" t="n">
        <v>0</v>
      </c>
      <c r="R188" s="2" t="inlineStr"/>
    </row>
    <row r="189" ht="15" customHeight="1">
      <c r="A189" t="inlineStr">
        <is>
          <t>A 42829-2022</t>
        </is>
      </c>
      <c r="B189" s="1" t="n">
        <v>44832</v>
      </c>
      <c r="C189" s="1" t="n">
        <v>45588</v>
      </c>
      <c r="D189" t="inlineStr">
        <is>
          <t>VÄSTMANLANDS LÄN</t>
        </is>
      </c>
      <c r="E189" t="inlineStr">
        <is>
          <t>SURAHAMMAR</t>
        </is>
      </c>
      <c r="G189" t="n">
        <v>1.6</v>
      </c>
      <c r="H189" t="n">
        <v>0</v>
      </c>
      <c r="I189" t="n">
        <v>0</v>
      </c>
      <c r="J189" t="n">
        <v>0</v>
      </c>
      <c r="K189" t="n">
        <v>0</v>
      </c>
      <c r="L189" t="n">
        <v>0</v>
      </c>
      <c r="M189" t="n">
        <v>0</v>
      </c>
      <c r="N189" t="n">
        <v>0</v>
      </c>
      <c r="O189" t="n">
        <v>0</v>
      </c>
      <c r="P189" t="n">
        <v>0</v>
      </c>
      <c r="Q189" t="n">
        <v>0</v>
      </c>
      <c r="R189" s="2" t="inlineStr"/>
    </row>
    <row r="190" ht="15" customHeight="1">
      <c r="A190" t="inlineStr">
        <is>
          <t>A 48581-2022</t>
        </is>
      </c>
      <c r="B190" s="1" t="n">
        <v>44859</v>
      </c>
      <c r="C190" s="1" t="n">
        <v>45588</v>
      </c>
      <c r="D190" t="inlineStr">
        <is>
          <t>VÄSTMANLANDS LÄN</t>
        </is>
      </c>
      <c r="E190" t="inlineStr">
        <is>
          <t>SURAHAMMAR</t>
        </is>
      </c>
      <c r="F190" t="inlineStr">
        <is>
          <t>Bergvik skog väst AB</t>
        </is>
      </c>
      <c r="G190" t="n">
        <v>2.3</v>
      </c>
      <c r="H190" t="n">
        <v>0</v>
      </c>
      <c r="I190" t="n">
        <v>0</v>
      </c>
      <c r="J190" t="n">
        <v>0</v>
      </c>
      <c r="K190" t="n">
        <v>0</v>
      </c>
      <c r="L190" t="n">
        <v>0</v>
      </c>
      <c r="M190" t="n">
        <v>0</v>
      </c>
      <c r="N190" t="n">
        <v>0</v>
      </c>
      <c r="O190" t="n">
        <v>0</v>
      </c>
      <c r="P190" t="n">
        <v>0</v>
      </c>
      <c r="Q190" t="n">
        <v>0</v>
      </c>
      <c r="R190" s="2" t="inlineStr"/>
    </row>
    <row r="191" ht="15" customHeight="1">
      <c r="A191" t="inlineStr">
        <is>
          <t>A 49686-2022</t>
        </is>
      </c>
      <c r="B191" s="1" t="n">
        <v>44862</v>
      </c>
      <c r="C191" s="1" t="n">
        <v>45588</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3085-2023</t>
        </is>
      </c>
      <c r="B192" s="1" t="n">
        <v>44946</v>
      </c>
      <c r="C192" s="1" t="n">
        <v>45588</v>
      </c>
      <c r="D192" t="inlineStr">
        <is>
          <t>VÄSTMANLANDS LÄN</t>
        </is>
      </c>
      <c r="E192" t="inlineStr">
        <is>
          <t>SURAHAMMAR</t>
        </is>
      </c>
      <c r="F192" t="inlineStr">
        <is>
          <t>Kyrkan</t>
        </is>
      </c>
      <c r="G192" t="n">
        <v>13</v>
      </c>
      <c r="H192" t="n">
        <v>0</v>
      </c>
      <c r="I192" t="n">
        <v>0</v>
      </c>
      <c r="J192" t="n">
        <v>0</v>
      </c>
      <c r="K192" t="n">
        <v>0</v>
      </c>
      <c r="L192" t="n">
        <v>0</v>
      </c>
      <c r="M192" t="n">
        <v>0</v>
      </c>
      <c r="N192" t="n">
        <v>0</v>
      </c>
      <c r="O192" t="n">
        <v>0</v>
      </c>
      <c r="P192" t="n">
        <v>0</v>
      </c>
      <c r="Q192" t="n">
        <v>0</v>
      </c>
      <c r="R192" s="2" t="inlineStr"/>
    </row>
    <row r="193" ht="15" customHeight="1">
      <c r="A193" t="inlineStr">
        <is>
          <t>A 8553-2023</t>
        </is>
      </c>
      <c r="B193" s="1" t="n">
        <v>44977</v>
      </c>
      <c r="C193" s="1" t="n">
        <v>45588</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10877-2023</t>
        </is>
      </c>
      <c r="B194" s="1" t="n">
        <v>44991</v>
      </c>
      <c r="C194" s="1" t="n">
        <v>45588</v>
      </c>
      <c r="D194" t="inlineStr">
        <is>
          <t>VÄSTMANLANDS LÄN</t>
        </is>
      </c>
      <c r="E194" t="inlineStr">
        <is>
          <t>SURAHAMMAR</t>
        </is>
      </c>
      <c r="F194" t="inlineStr">
        <is>
          <t>Övriga Aktiebolag</t>
        </is>
      </c>
      <c r="G194" t="n">
        <v>1.4</v>
      </c>
      <c r="H194" t="n">
        <v>0</v>
      </c>
      <c r="I194" t="n">
        <v>0</v>
      </c>
      <c r="J194" t="n">
        <v>0</v>
      </c>
      <c r="K194" t="n">
        <v>0</v>
      </c>
      <c r="L194" t="n">
        <v>0</v>
      </c>
      <c r="M194" t="n">
        <v>0</v>
      </c>
      <c r="N194" t="n">
        <v>0</v>
      </c>
      <c r="O194" t="n">
        <v>0</v>
      </c>
      <c r="P194" t="n">
        <v>0</v>
      </c>
      <c r="Q194" t="n">
        <v>0</v>
      </c>
      <c r="R194" s="2" t="inlineStr"/>
    </row>
    <row r="195" ht="15" customHeight="1">
      <c r="A195" t="inlineStr">
        <is>
          <t>A 10883-2023</t>
        </is>
      </c>
      <c r="B195" s="1" t="n">
        <v>44991</v>
      </c>
      <c r="C195" s="1" t="n">
        <v>45588</v>
      </c>
      <c r="D195" t="inlineStr">
        <is>
          <t>VÄSTMANLANDS LÄN</t>
        </is>
      </c>
      <c r="E195" t="inlineStr">
        <is>
          <t>SURAHAMMAR</t>
        </is>
      </c>
      <c r="F195" t="inlineStr">
        <is>
          <t>Övriga Aktiebolag</t>
        </is>
      </c>
      <c r="G195" t="n">
        <v>12.5</v>
      </c>
      <c r="H195" t="n">
        <v>0</v>
      </c>
      <c r="I195" t="n">
        <v>0</v>
      </c>
      <c r="J195" t="n">
        <v>0</v>
      </c>
      <c r="K195" t="n">
        <v>0</v>
      </c>
      <c r="L195" t="n">
        <v>0</v>
      </c>
      <c r="M195" t="n">
        <v>0</v>
      </c>
      <c r="N195" t="n">
        <v>0</v>
      </c>
      <c r="O195" t="n">
        <v>0</v>
      </c>
      <c r="P195" t="n">
        <v>0</v>
      </c>
      <c r="Q195" t="n">
        <v>0</v>
      </c>
      <c r="R195" s="2" t="inlineStr"/>
    </row>
    <row r="196" ht="15" customHeight="1">
      <c r="A196" t="inlineStr">
        <is>
          <t>A 11501-2023</t>
        </is>
      </c>
      <c r="B196" s="1" t="n">
        <v>44991</v>
      </c>
      <c r="C196" s="1" t="n">
        <v>45588</v>
      </c>
      <c r="D196" t="inlineStr">
        <is>
          <t>VÄSTMANLANDS LÄN</t>
        </is>
      </c>
      <c r="E196" t="inlineStr">
        <is>
          <t>SURAHAMMAR</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11728-2023</t>
        </is>
      </c>
      <c r="B197" s="1" t="n">
        <v>44993</v>
      </c>
      <c r="C197" s="1" t="n">
        <v>45588</v>
      </c>
      <c r="D197" t="inlineStr">
        <is>
          <t>VÄSTMANLANDS LÄN</t>
        </is>
      </c>
      <c r="E197" t="inlineStr">
        <is>
          <t>SURAHAMMAR</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13479-2023</t>
        </is>
      </c>
      <c r="B198" s="1" t="n">
        <v>45005</v>
      </c>
      <c r="C198" s="1" t="n">
        <v>45588</v>
      </c>
      <c r="D198" t="inlineStr">
        <is>
          <t>VÄSTMANLANDS LÄN</t>
        </is>
      </c>
      <c r="E198" t="inlineStr">
        <is>
          <t>SURAHAMMAR</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14626-2023</t>
        </is>
      </c>
      <c r="B199" s="1" t="n">
        <v>45012</v>
      </c>
      <c r="C199" s="1" t="n">
        <v>45588</v>
      </c>
      <c r="D199" t="inlineStr">
        <is>
          <t>VÄSTMANLANDS LÄN</t>
        </is>
      </c>
      <c r="E199" t="inlineStr">
        <is>
          <t>SURAHAMMAR</t>
        </is>
      </c>
      <c r="F199" t="inlineStr">
        <is>
          <t>Bergvik skog väst AB</t>
        </is>
      </c>
      <c r="G199" t="n">
        <v>5</v>
      </c>
      <c r="H199" t="n">
        <v>0</v>
      </c>
      <c r="I199" t="n">
        <v>0</v>
      </c>
      <c r="J199" t="n">
        <v>0</v>
      </c>
      <c r="K199" t="n">
        <v>0</v>
      </c>
      <c r="L199" t="n">
        <v>0</v>
      </c>
      <c r="M199" t="n">
        <v>0</v>
      </c>
      <c r="N199" t="n">
        <v>0</v>
      </c>
      <c r="O199" t="n">
        <v>0</v>
      </c>
      <c r="P199" t="n">
        <v>0</v>
      </c>
      <c r="Q199" t="n">
        <v>0</v>
      </c>
      <c r="R199" s="2" t="inlineStr"/>
    </row>
    <row r="200" ht="15" customHeight="1">
      <c r="A200" t="inlineStr">
        <is>
          <t>A 14583-2023</t>
        </is>
      </c>
      <c r="B200" s="1" t="n">
        <v>45013</v>
      </c>
      <c r="C200" s="1" t="n">
        <v>45588</v>
      </c>
      <c r="D200" t="inlineStr">
        <is>
          <t>VÄSTMANLANDS LÄN</t>
        </is>
      </c>
      <c r="E200" t="inlineStr">
        <is>
          <t>SURAHAMMAR</t>
        </is>
      </c>
      <c r="G200" t="n">
        <v>0.9</v>
      </c>
      <c r="H200" t="n">
        <v>0</v>
      </c>
      <c r="I200" t="n">
        <v>0</v>
      </c>
      <c r="J200" t="n">
        <v>0</v>
      </c>
      <c r="K200" t="n">
        <v>0</v>
      </c>
      <c r="L200" t="n">
        <v>0</v>
      </c>
      <c r="M200" t="n">
        <v>0</v>
      </c>
      <c r="N200" t="n">
        <v>0</v>
      </c>
      <c r="O200" t="n">
        <v>0</v>
      </c>
      <c r="P200" t="n">
        <v>0</v>
      </c>
      <c r="Q200" t="n">
        <v>0</v>
      </c>
      <c r="R200" s="2" t="inlineStr"/>
    </row>
    <row r="201" ht="15" customHeight="1">
      <c r="A201" t="inlineStr">
        <is>
          <t>A 15743-2023</t>
        </is>
      </c>
      <c r="B201" s="1" t="n">
        <v>45021</v>
      </c>
      <c r="C201" s="1" t="n">
        <v>45588</v>
      </c>
      <c r="D201" t="inlineStr">
        <is>
          <t>VÄSTMANLANDS LÄN</t>
        </is>
      </c>
      <c r="E201" t="inlineStr">
        <is>
          <t>SURAHAMMAR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15739-2023</t>
        </is>
      </c>
      <c r="B202" s="1" t="n">
        <v>45021</v>
      </c>
      <c r="C202" s="1" t="n">
        <v>45588</v>
      </c>
      <c r="D202" t="inlineStr">
        <is>
          <t>VÄSTMANLANDS LÄN</t>
        </is>
      </c>
      <c r="E202" t="inlineStr">
        <is>
          <t>SURAHAMMAR</t>
        </is>
      </c>
      <c r="G202" t="n">
        <v>1.3</v>
      </c>
      <c r="H202" t="n">
        <v>0</v>
      </c>
      <c r="I202" t="n">
        <v>0</v>
      </c>
      <c r="J202" t="n">
        <v>0</v>
      </c>
      <c r="K202" t="n">
        <v>0</v>
      </c>
      <c r="L202" t="n">
        <v>0</v>
      </c>
      <c r="M202" t="n">
        <v>0</v>
      </c>
      <c r="N202" t="n">
        <v>0</v>
      </c>
      <c r="O202" t="n">
        <v>0</v>
      </c>
      <c r="P202" t="n">
        <v>0</v>
      </c>
      <c r="Q202" t="n">
        <v>0</v>
      </c>
      <c r="R202" s="2" t="inlineStr"/>
    </row>
    <row r="203" ht="15" customHeight="1">
      <c r="A203" t="inlineStr">
        <is>
          <t>A 16013-2023</t>
        </is>
      </c>
      <c r="B203" s="1" t="n">
        <v>45026</v>
      </c>
      <c r="C203" s="1" t="n">
        <v>45588</v>
      </c>
      <c r="D203" t="inlineStr">
        <is>
          <t>VÄSTMANLANDS LÄN</t>
        </is>
      </c>
      <c r="E203" t="inlineStr">
        <is>
          <t>SURAHAMMAR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18223-2023</t>
        </is>
      </c>
      <c r="B204" s="1" t="n">
        <v>45041</v>
      </c>
      <c r="C204" s="1" t="n">
        <v>45588</v>
      </c>
      <c r="D204" t="inlineStr">
        <is>
          <t>VÄSTMANLANDS LÄN</t>
        </is>
      </c>
      <c r="E204" t="inlineStr">
        <is>
          <t>SURAHAMMAR</t>
        </is>
      </c>
      <c r="F204" t="inlineStr">
        <is>
          <t>Övriga Aktiebolag</t>
        </is>
      </c>
      <c r="G204" t="n">
        <v>3.1</v>
      </c>
      <c r="H204" t="n">
        <v>0</v>
      </c>
      <c r="I204" t="n">
        <v>0</v>
      </c>
      <c r="J204" t="n">
        <v>0</v>
      </c>
      <c r="K204" t="n">
        <v>0</v>
      </c>
      <c r="L204" t="n">
        <v>0</v>
      </c>
      <c r="M204" t="n">
        <v>0</v>
      </c>
      <c r="N204" t="n">
        <v>0</v>
      </c>
      <c r="O204" t="n">
        <v>0</v>
      </c>
      <c r="P204" t="n">
        <v>0</v>
      </c>
      <c r="Q204" t="n">
        <v>0</v>
      </c>
      <c r="R204" s="2" t="inlineStr"/>
    </row>
    <row r="205" ht="15" customHeight="1">
      <c r="A205" t="inlineStr">
        <is>
          <t>A 19778-2023</t>
        </is>
      </c>
      <c r="B205" s="1" t="n">
        <v>45050</v>
      </c>
      <c r="C205" s="1" t="n">
        <v>45588</v>
      </c>
      <c r="D205" t="inlineStr">
        <is>
          <t>VÄSTMANLANDS LÄN</t>
        </is>
      </c>
      <c r="E205" t="inlineStr">
        <is>
          <t>SURAHAMMAR</t>
        </is>
      </c>
      <c r="F205" t="inlineStr">
        <is>
          <t>Bergvik skog väst AB</t>
        </is>
      </c>
      <c r="G205" t="n">
        <v>6</v>
      </c>
      <c r="H205" t="n">
        <v>0</v>
      </c>
      <c r="I205" t="n">
        <v>0</v>
      </c>
      <c r="J205" t="n">
        <v>0</v>
      </c>
      <c r="K205" t="n">
        <v>0</v>
      </c>
      <c r="L205" t="n">
        <v>0</v>
      </c>
      <c r="M205" t="n">
        <v>0</v>
      </c>
      <c r="N205" t="n">
        <v>0</v>
      </c>
      <c r="O205" t="n">
        <v>0</v>
      </c>
      <c r="P205" t="n">
        <v>0</v>
      </c>
      <c r="Q205" t="n">
        <v>0</v>
      </c>
      <c r="R205" s="2" t="inlineStr"/>
    </row>
    <row r="206" ht="15" customHeight="1">
      <c r="A206" t="inlineStr">
        <is>
          <t>A 19779-2023</t>
        </is>
      </c>
      <c r="B206" s="1" t="n">
        <v>45050</v>
      </c>
      <c r="C206" s="1" t="n">
        <v>45588</v>
      </c>
      <c r="D206" t="inlineStr">
        <is>
          <t>VÄSTMANLANDS LÄN</t>
        </is>
      </c>
      <c r="E206" t="inlineStr">
        <is>
          <t>SURAHAMMAR</t>
        </is>
      </c>
      <c r="F206" t="inlineStr">
        <is>
          <t>Bergvik skog väst AB</t>
        </is>
      </c>
      <c r="G206" t="n">
        <v>11.1</v>
      </c>
      <c r="H206" t="n">
        <v>0</v>
      </c>
      <c r="I206" t="n">
        <v>0</v>
      </c>
      <c r="J206" t="n">
        <v>0</v>
      </c>
      <c r="K206" t="n">
        <v>0</v>
      </c>
      <c r="L206" t="n">
        <v>0</v>
      </c>
      <c r="M206" t="n">
        <v>0</v>
      </c>
      <c r="N206" t="n">
        <v>0</v>
      </c>
      <c r="O206" t="n">
        <v>0</v>
      </c>
      <c r="P206" t="n">
        <v>0</v>
      </c>
      <c r="Q206" t="n">
        <v>0</v>
      </c>
      <c r="R206" s="2" t="inlineStr"/>
    </row>
    <row r="207" ht="15" customHeight="1">
      <c r="A207" t="inlineStr">
        <is>
          <t>A 19786-2023</t>
        </is>
      </c>
      <c r="B207" s="1" t="n">
        <v>45050</v>
      </c>
      <c r="C207" s="1" t="n">
        <v>45588</v>
      </c>
      <c r="D207" t="inlineStr">
        <is>
          <t>VÄSTMANLANDS LÄN</t>
        </is>
      </c>
      <c r="E207" t="inlineStr">
        <is>
          <t>SURAHAMMAR</t>
        </is>
      </c>
      <c r="F207" t="inlineStr">
        <is>
          <t>Bergvik skog väst AB</t>
        </is>
      </c>
      <c r="G207" t="n">
        <v>8.1</v>
      </c>
      <c r="H207" t="n">
        <v>0</v>
      </c>
      <c r="I207" t="n">
        <v>0</v>
      </c>
      <c r="J207" t="n">
        <v>0</v>
      </c>
      <c r="K207" t="n">
        <v>0</v>
      </c>
      <c r="L207" t="n">
        <v>0</v>
      </c>
      <c r="M207" t="n">
        <v>0</v>
      </c>
      <c r="N207" t="n">
        <v>0</v>
      </c>
      <c r="O207" t="n">
        <v>0</v>
      </c>
      <c r="P207" t="n">
        <v>0</v>
      </c>
      <c r="Q207" t="n">
        <v>0</v>
      </c>
      <c r="R207" s="2" t="inlineStr"/>
    </row>
    <row r="208" ht="15" customHeight="1">
      <c r="A208" t="inlineStr">
        <is>
          <t>A 19782-2023</t>
        </is>
      </c>
      <c r="B208" s="1" t="n">
        <v>45050</v>
      </c>
      <c r="C208" s="1" t="n">
        <v>45588</v>
      </c>
      <c r="D208" t="inlineStr">
        <is>
          <t>VÄSTMANLANDS LÄN</t>
        </is>
      </c>
      <c r="E208" t="inlineStr">
        <is>
          <t>SURAHAMMAR</t>
        </is>
      </c>
      <c r="F208" t="inlineStr">
        <is>
          <t>Bergvik skog väst AB</t>
        </is>
      </c>
      <c r="G208" t="n">
        <v>5.2</v>
      </c>
      <c r="H208" t="n">
        <v>0</v>
      </c>
      <c r="I208" t="n">
        <v>0</v>
      </c>
      <c r="J208" t="n">
        <v>0</v>
      </c>
      <c r="K208" t="n">
        <v>0</v>
      </c>
      <c r="L208" t="n">
        <v>0</v>
      </c>
      <c r="M208" t="n">
        <v>0</v>
      </c>
      <c r="N208" t="n">
        <v>0</v>
      </c>
      <c r="O208" t="n">
        <v>0</v>
      </c>
      <c r="P208" t="n">
        <v>0</v>
      </c>
      <c r="Q208" t="n">
        <v>0</v>
      </c>
      <c r="R208" s="2" t="inlineStr"/>
    </row>
    <row r="209" ht="15" customHeight="1">
      <c r="A209" t="inlineStr">
        <is>
          <t>A 20020-2023</t>
        </is>
      </c>
      <c r="B209" s="1" t="n">
        <v>45054</v>
      </c>
      <c r="C209" s="1" t="n">
        <v>45588</v>
      </c>
      <c r="D209" t="inlineStr">
        <is>
          <t>VÄSTMANLANDS LÄN</t>
        </is>
      </c>
      <c r="E209" t="inlineStr">
        <is>
          <t>SURAHAMMAR</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20018-2023</t>
        </is>
      </c>
      <c r="B210" s="1" t="n">
        <v>45054</v>
      </c>
      <c r="C210" s="1" t="n">
        <v>45588</v>
      </c>
      <c r="D210" t="inlineStr">
        <is>
          <t>VÄSTMANLANDS LÄN</t>
        </is>
      </c>
      <c r="E210" t="inlineStr">
        <is>
          <t>SURAHAMMAR</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20019-2023</t>
        </is>
      </c>
      <c r="B211" s="1" t="n">
        <v>45054</v>
      </c>
      <c r="C211" s="1" t="n">
        <v>45588</v>
      </c>
      <c r="D211" t="inlineStr">
        <is>
          <t>VÄSTMANLANDS LÄN</t>
        </is>
      </c>
      <c r="E211" t="inlineStr">
        <is>
          <t>SURAHAMMAR</t>
        </is>
      </c>
      <c r="F211" t="inlineStr">
        <is>
          <t>Sveaskog</t>
        </is>
      </c>
      <c r="G211" t="n">
        <v>18.5</v>
      </c>
      <c r="H211" t="n">
        <v>0</v>
      </c>
      <c r="I211" t="n">
        <v>0</v>
      </c>
      <c r="J211" t="n">
        <v>0</v>
      </c>
      <c r="K211" t="n">
        <v>0</v>
      </c>
      <c r="L211" t="n">
        <v>0</v>
      </c>
      <c r="M211" t="n">
        <v>0</v>
      </c>
      <c r="N211" t="n">
        <v>0</v>
      </c>
      <c r="O211" t="n">
        <v>0</v>
      </c>
      <c r="P211" t="n">
        <v>0</v>
      </c>
      <c r="Q211" t="n">
        <v>0</v>
      </c>
      <c r="R211" s="2" t="inlineStr"/>
    </row>
    <row r="212" ht="15" customHeight="1">
      <c r="A212" t="inlineStr">
        <is>
          <t>A 20023-2023</t>
        </is>
      </c>
      <c r="B212" s="1" t="n">
        <v>45054</v>
      </c>
      <c r="C212" s="1" t="n">
        <v>45588</v>
      </c>
      <c r="D212" t="inlineStr">
        <is>
          <t>VÄSTMANLANDS LÄN</t>
        </is>
      </c>
      <c r="E212" t="inlineStr">
        <is>
          <t>SURAHAMMAR</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20429-2023</t>
        </is>
      </c>
      <c r="B213" s="1" t="n">
        <v>45056</v>
      </c>
      <c r="C213" s="1" t="n">
        <v>45588</v>
      </c>
      <c r="D213" t="inlineStr">
        <is>
          <t>VÄSTMANLANDS LÄN</t>
        </is>
      </c>
      <c r="E213" t="inlineStr">
        <is>
          <t>SURAHAMMAR</t>
        </is>
      </c>
      <c r="G213" t="n">
        <v>5</v>
      </c>
      <c r="H213" t="n">
        <v>0</v>
      </c>
      <c r="I213" t="n">
        <v>0</v>
      </c>
      <c r="J213" t="n">
        <v>0</v>
      </c>
      <c r="K213" t="n">
        <v>0</v>
      </c>
      <c r="L213" t="n">
        <v>0</v>
      </c>
      <c r="M213" t="n">
        <v>0</v>
      </c>
      <c r="N213" t="n">
        <v>0</v>
      </c>
      <c r="O213" t="n">
        <v>0</v>
      </c>
      <c r="P213" t="n">
        <v>0</v>
      </c>
      <c r="Q213" t="n">
        <v>0</v>
      </c>
      <c r="R213" s="2" t="inlineStr"/>
    </row>
    <row r="214" ht="15" customHeight="1">
      <c r="A214" t="inlineStr">
        <is>
          <t>A 20904-2023</t>
        </is>
      </c>
      <c r="B214" s="1" t="n">
        <v>45060</v>
      </c>
      <c r="C214" s="1" t="n">
        <v>45588</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21906-2023</t>
        </is>
      </c>
      <c r="B215" s="1" t="n">
        <v>45068</v>
      </c>
      <c r="C215" s="1" t="n">
        <v>45588</v>
      </c>
      <c r="D215" t="inlineStr">
        <is>
          <t>VÄSTMANLANDS LÄN</t>
        </is>
      </c>
      <c r="E215" t="inlineStr">
        <is>
          <t>SURAHAMMAR</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21905-2023</t>
        </is>
      </c>
      <c r="B216" s="1" t="n">
        <v>45068</v>
      </c>
      <c r="C216" s="1" t="n">
        <v>45588</v>
      </c>
      <c r="D216" t="inlineStr">
        <is>
          <t>VÄSTMANLANDS LÄN</t>
        </is>
      </c>
      <c r="E216" t="inlineStr">
        <is>
          <t>SURAHAMMAR</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21904-2023</t>
        </is>
      </c>
      <c r="B217" s="1" t="n">
        <v>45068</v>
      </c>
      <c r="C217" s="1" t="n">
        <v>45588</v>
      </c>
      <c r="D217" t="inlineStr">
        <is>
          <t>VÄSTMANLANDS LÄN</t>
        </is>
      </c>
      <c r="E217" t="inlineStr">
        <is>
          <t>SURAHAMMAR</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22915-2023</t>
        </is>
      </c>
      <c r="B218" s="1" t="n">
        <v>45070</v>
      </c>
      <c r="C218" s="1" t="n">
        <v>45588</v>
      </c>
      <c r="D218" t="inlineStr">
        <is>
          <t>VÄSTMANLANDS LÄN</t>
        </is>
      </c>
      <c r="E218" t="inlineStr">
        <is>
          <t>SURAHAMMAR</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22660-2023</t>
        </is>
      </c>
      <c r="B219" s="1" t="n">
        <v>45071</v>
      </c>
      <c r="C219" s="1" t="n">
        <v>45588</v>
      </c>
      <c r="D219" t="inlineStr">
        <is>
          <t>VÄSTMANLANDS LÄN</t>
        </is>
      </c>
      <c r="E219" t="inlineStr">
        <is>
          <t>SURAHAMMAR</t>
        </is>
      </c>
      <c r="F219" t="inlineStr">
        <is>
          <t>Sveaskog</t>
        </is>
      </c>
      <c r="G219" t="n">
        <v>15.3</v>
      </c>
      <c r="H219" t="n">
        <v>0</v>
      </c>
      <c r="I219" t="n">
        <v>0</v>
      </c>
      <c r="J219" t="n">
        <v>0</v>
      </c>
      <c r="K219" t="n">
        <v>0</v>
      </c>
      <c r="L219" t="n">
        <v>0</v>
      </c>
      <c r="M219" t="n">
        <v>0</v>
      </c>
      <c r="N219" t="n">
        <v>0</v>
      </c>
      <c r="O219" t="n">
        <v>0</v>
      </c>
      <c r="P219" t="n">
        <v>0</v>
      </c>
      <c r="Q219" t="n">
        <v>0</v>
      </c>
      <c r="R219" s="2" t="inlineStr"/>
    </row>
    <row r="220" ht="15" customHeight="1">
      <c r="A220" t="inlineStr">
        <is>
          <t>A 22662-2023</t>
        </is>
      </c>
      <c r="B220" s="1" t="n">
        <v>45071</v>
      </c>
      <c r="C220" s="1" t="n">
        <v>45588</v>
      </c>
      <c r="D220" t="inlineStr">
        <is>
          <t>VÄSTMANLANDS LÄN</t>
        </is>
      </c>
      <c r="E220" t="inlineStr">
        <is>
          <t>SURAHAMMAR</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22661-2023</t>
        </is>
      </c>
      <c r="B221" s="1" t="n">
        <v>45071</v>
      </c>
      <c r="C221" s="1" t="n">
        <v>45588</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22659-2023</t>
        </is>
      </c>
      <c r="B222" s="1" t="n">
        <v>45071</v>
      </c>
      <c r="C222" s="1" t="n">
        <v>45588</v>
      </c>
      <c r="D222" t="inlineStr">
        <is>
          <t>VÄSTMANLANDS LÄN</t>
        </is>
      </c>
      <c r="E222" t="inlineStr">
        <is>
          <t>SURAHAMMAR</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23731-2023</t>
        </is>
      </c>
      <c r="B223" s="1" t="n">
        <v>45077</v>
      </c>
      <c r="C223" s="1" t="n">
        <v>45588</v>
      </c>
      <c r="D223" t="inlineStr">
        <is>
          <t>VÄSTMANLANDS LÄN</t>
        </is>
      </c>
      <c r="E223" t="inlineStr">
        <is>
          <t>SURAHAMMAR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24156-2023</t>
        </is>
      </c>
      <c r="B224" s="1" t="n">
        <v>45079</v>
      </c>
      <c r="C224" s="1" t="n">
        <v>45588</v>
      </c>
      <c r="D224" t="inlineStr">
        <is>
          <t>VÄSTMANLANDS LÄN</t>
        </is>
      </c>
      <c r="E224" t="inlineStr">
        <is>
          <t>SURAHAMMAR</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24158-2023</t>
        </is>
      </c>
      <c r="B225" s="1" t="n">
        <v>45079</v>
      </c>
      <c r="C225" s="1" t="n">
        <v>45588</v>
      </c>
      <c r="D225" t="inlineStr">
        <is>
          <t>VÄSTMANLANDS LÄN</t>
        </is>
      </c>
      <c r="E225" t="inlineStr">
        <is>
          <t>SURAHAMMAR</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24197-2023</t>
        </is>
      </c>
      <c r="B226" s="1" t="n">
        <v>45079</v>
      </c>
      <c r="C226" s="1" t="n">
        <v>45588</v>
      </c>
      <c r="D226" t="inlineStr">
        <is>
          <t>VÄSTMANLANDS LÄN</t>
        </is>
      </c>
      <c r="E226" t="inlineStr">
        <is>
          <t>SURAHAMMAR</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24180-2023</t>
        </is>
      </c>
      <c r="B227" s="1" t="n">
        <v>45079</v>
      </c>
      <c r="C227" s="1" t="n">
        <v>45588</v>
      </c>
      <c r="D227" t="inlineStr">
        <is>
          <t>VÄSTMANLANDS LÄN</t>
        </is>
      </c>
      <c r="E227" t="inlineStr">
        <is>
          <t>SURAHAMMAR</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24665-2023</t>
        </is>
      </c>
      <c r="B228" s="1" t="n">
        <v>45084</v>
      </c>
      <c r="C228" s="1" t="n">
        <v>45588</v>
      </c>
      <c r="D228" t="inlineStr">
        <is>
          <t>VÄSTMANLANDS LÄN</t>
        </is>
      </c>
      <c r="E228" t="inlineStr">
        <is>
          <t>SURAHAMMAR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25775-2023</t>
        </is>
      </c>
      <c r="B229" s="1" t="n">
        <v>45090</v>
      </c>
      <c r="C229" s="1" t="n">
        <v>45588</v>
      </c>
      <c r="D229" t="inlineStr">
        <is>
          <t>VÄSTMANLANDS LÄN</t>
        </is>
      </c>
      <c r="E229" t="inlineStr">
        <is>
          <t>SURAHAMMAR</t>
        </is>
      </c>
      <c r="G229" t="n">
        <v>1.6</v>
      </c>
      <c r="H229" t="n">
        <v>0</v>
      </c>
      <c r="I229" t="n">
        <v>0</v>
      </c>
      <c r="J229" t="n">
        <v>0</v>
      </c>
      <c r="K229" t="n">
        <v>0</v>
      </c>
      <c r="L229" t="n">
        <v>0</v>
      </c>
      <c r="M229" t="n">
        <v>0</v>
      </c>
      <c r="N229" t="n">
        <v>0</v>
      </c>
      <c r="O229" t="n">
        <v>0</v>
      </c>
      <c r="P229" t="n">
        <v>0</v>
      </c>
      <c r="Q229" t="n">
        <v>0</v>
      </c>
      <c r="R229" s="2" t="inlineStr"/>
    </row>
    <row r="230" ht="15" customHeight="1">
      <c r="A230" t="inlineStr">
        <is>
          <t>A 25780-2023</t>
        </is>
      </c>
      <c r="B230" s="1" t="n">
        <v>45090</v>
      </c>
      <c r="C230" s="1" t="n">
        <v>45588</v>
      </c>
      <c r="D230" t="inlineStr">
        <is>
          <t>VÄSTMANLANDS LÄN</t>
        </is>
      </c>
      <c r="E230" t="inlineStr">
        <is>
          <t>SURAHAMMAR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27140-2023</t>
        </is>
      </c>
      <c r="B231" s="1" t="n">
        <v>45096</v>
      </c>
      <c r="C231" s="1" t="n">
        <v>45588</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27156-2023</t>
        </is>
      </c>
      <c r="B232" s="1" t="n">
        <v>45096</v>
      </c>
      <c r="C232" s="1" t="n">
        <v>45588</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27142-2023</t>
        </is>
      </c>
      <c r="B233" s="1" t="n">
        <v>45096</v>
      </c>
      <c r="C233" s="1" t="n">
        <v>45588</v>
      </c>
      <c r="D233" t="inlineStr">
        <is>
          <t>VÄSTMANLANDS LÄN</t>
        </is>
      </c>
      <c r="E233" t="inlineStr">
        <is>
          <t>SURAHAMMAR</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27171-2023</t>
        </is>
      </c>
      <c r="B234" s="1" t="n">
        <v>45096</v>
      </c>
      <c r="C234" s="1" t="n">
        <v>45588</v>
      </c>
      <c r="D234" t="inlineStr">
        <is>
          <t>VÄSTMANLANDS LÄN</t>
        </is>
      </c>
      <c r="E234" t="inlineStr">
        <is>
          <t>SURAHAMMAR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28051-2023</t>
        </is>
      </c>
      <c r="B235" s="1" t="n">
        <v>45099</v>
      </c>
      <c r="C235" s="1" t="n">
        <v>45588</v>
      </c>
      <c r="D235" t="inlineStr">
        <is>
          <t>VÄSTMANLANDS LÄN</t>
        </is>
      </c>
      <c r="E235" t="inlineStr">
        <is>
          <t>SURAHAMMAR</t>
        </is>
      </c>
      <c r="F235" t="inlineStr">
        <is>
          <t>Allmännings- och besparingsskogar</t>
        </is>
      </c>
      <c r="G235" t="n">
        <v>23.3</v>
      </c>
      <c r="H235" t="n">
        <v>0</v>
      </c>
      <c r="I235" t="n">
        <v>0</v>
      </c>
      <c r="J235" t="n">
        <v>0</v>
      </c>
      <c r="K235" t="n">
        <v>0</v>
      </c>
      <c r="L235" t="n">
        <v>0</v>
      </c>
      <c r="M235" t="n">
        <v>0</v>
      </c>
      <c r="N235" t="n">
        <v>0</v>
      </c>
      <c r="O235" t="n">
        <v>0</v>
      </c>
      <c r="P235" t="n">
        <v>0</v>
      </c>
      <c r="Q235" t="n">
        <v>0</v>
      </c>
      <c r="R235" s="2" t="inlineStr"/>
    </row>
    <row r="236" ht="15" customHeight="1">
      <c r="A236" t="inlineStr">
        <is>
          <t>A 30076-2023</t>
        </is>
      </c>
      <c r="B236" s="1" t="n">
        <v>45110</v>
      </c>
      <c r="C236" s="1" t="n">
        <v>45588</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37138-2023</t>
        </is>
      </c>
      <c r="B237" s="1" t="n">
        <v>45155</v>
      </c>
      <c r="C237" s="1" t="n">
        <v>45588</v>
      </c>
      <c r="D237" t="inlineStr">
        <is>
          <t>VÄSTMANLANDS LÄN</t>
        </is>
      </c>
      <c r="E237" t="inlineStr">
        <is>
          <t>SURAHAMMAR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37287-2023</t>
        </is>
      </c>
      <c r="B238" s="1" t="n">
        <v>45156</v>
      </c>
      <c r="C238" s="1" t="n">
        <v>45588</v>
      </c>
      <c r="D238" t="inlineStr">
        <is>
          <t>VÄSTMANLANDS LÄN</t>
        </is>
      </c>
      <c r="E238" t="inlineStr">
        <is>
          <t>SURAHAMMAR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37635-2023</t>
        </is>
      </c>
      <c r="B239" s="1" t="n">
        <v>45159</v>
      </c>
      <c r="C239" s="1" t="n">
        <v>45588</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37639-2023</t>
        </is>
      </c>
      <c r="B240" s="1" t="n">
        <v>45159</v>
      </c>
      <c r="C240" s="1" t="n">
        <v>45588</v>
      </c>
      <c r="D240" t="inlineStr">
        <is>
          <t>VÄSTMANLANDS LÄN</t>
        </is>
      </c>
      <c r="E240" t="inlineStr">
        <is>
          <t>SURAHAMMAR</t>
        </is>
      </c>
      <c r="G240" t="n">
        <v>4.9</v>
      </c>
      <c r="H240" t="n">
        <v>0</v>
      </c>
      <c r="I240" t="n">
        <v>0</v>
      </c>
      <c r="J240" t="n">
        <v>0</v>
      </c>
      <c r="K240" t="n">
        <v>0</v>
      </c>
      <c r="L240" t="n">
        <v>0</v>
      </c>
      <c r="M240" t="n">
        <v>0</v>
      </c>
      <c r="N240" t="n">
        <v>0</v>
      </c>
      <c r="O240" t="n">
        <v>0</v>
      </c>
      <c r="P240" t="n">
        <v>0</v>
      </c>
      <c r="Q240" t="n">
        <v>0</v>
      </c>
      <c r="R240" s="2" t="inlineStr"/>
    </row>
    <row r="241" ht="15" customHeight="1">
      <c r="A241" t="inlineStr">
        <is>
          <t>A 40956-2023</t>
        </is>
      </c>
      <c r="B241" s="1" t="n">
        <v>45169</v>
      </c>
      <c r="C241" s="1" t="n">
        <v>45588</v>
      </c>
      <c r="D241" t="inlineStr">
        <is>
          <t>VÄSTMANLANDS LÄN</t>
        </is>
      </c>
      <c r="E241" t="inlineStr">
        <is>
          <t>SURAHAMMAR</t>
        </is>
      </c>
      <c r="F241" t="inlineStr">
        <is>
          <t>Bergvik skog väst AB</t>
        </is>
      </c>
      <c r="G241" t="n">
        <v>7.6</v>
      </c>
      <c r="H241" t="n">
        <v>0</v>
      </c>
      <c r="I241" t="n">
        <v>0</v>
      </c>
      <c r="J241" t="n">
        <v>0</v>
      </c>
      <c r="K241" t="n">
        <v>0</v>
      </c>
      <c r="L241" t="n">
        <v>0</v>
      </c>
      <c r="M241" t="n">
        <v>0</v>
      </c>
      <c r="N241" t="n">
        <v>0</v>
      </c>
      <c r="O241" t="n">
        <v>0</v>
      </c>
      <c r="P241" t="n">
        <v>0</v>
      </c>
      <c r="Q241" t="n">
        <v>0</v>
      </c>
      <c r="R241" s="2" t="inlineStr"/>
    </row>
    <row r="242" ht="15" customHeight="1">
      <c r="A242" t="inlineStr">
        <is>
          <t>A 40445-2023</t>
        </is>
      </c>
      <c r="B242" s="1" t="n">
        <v>45170</v>
      </c>
      <c r="C242" s="1" t="n">
        <v>45588</v>
      </c>
      <c r="D242" t="inlineStr">
        <is>
          <t>VÄSTMANLANDS LÄN</t>
        </is>
      </c>
      <c r="E242" t="inlineStr">
        <is>
          <t>SURAHAMMAR</t>
        </is>
      </c>
      <c r="G242" t="n">
        <v>15.6</v>
      </c>
      <c r="H242" t="n">
        <v>0</v>
      </c>
      <c r="I242" t="n">
        <v>0</v>
      </c>
      <c r="J242" t="n">
        <v>0</v>
      </c>
      <c r="K242" t="n">
        <v>0</v>
      </c>
      <c r="L242" t="n">
        <v>0</v>
      </c>
      <c r="M242" t="n">
        <v>0</v>
      </c>
      <c r="N242" t="n">
        <v>0</v>
      </c>
      <c r="O242" t="n">
        <v>0</v>
      </c>
      <c r="P242" t="n">
        <v>0</v>
      </c>
      <c r="Q242" t="n">
        <v>0</v>
      </c>
      <c r="R242" s="2" t="inlineStr"/>
    </row>
    <row r="243" ht="15" customHeight="1">
      <c r="A243" t="inlineStr">
        <is>
          <t>A 48906-2023</t>
        </is>
      </c>
      <c r="B243" s="1" t="n">
        <v>45203</v>
      </c>
      <c r="C243" s="1" t="n">
        <v>45588</v>
      </c>
      <c r="D243" t="inlineStr">
        <is>
          <t>VÄSTMANLANDS LÄN</t>
        </is>
      </c>
      <c r="E243" t="inlineStr">
        <is>
          <t>SURAHAMMAR</t>
        </is>
      </c>
      <c r="F243" t="inlineStr">
        <is>
          <t>Bergvik skog väst AB</t>
        </is>
      </c>
      <c r="G243" t="n">
        <v>2.5</v>
      </c>
      <c r="H243" t="n">
        <v>0</v>
      </c>
      <c r="I243" t="n">
        <v>0</v>
      </c>
      <c r="J243" t="n">
        <v>0</v>
      </c>
      <c r="K243" t="n">
        <v>0</v>
      </c>
      <c r="L243" t="n">
        <v>0</v>
      </c>
      <c r="M243" t="n">
        <v>0</v>
      </c>
      <c r="N243" t="n">
        <v>0</v>
      </c>
      <c r="O243" t="n">
        <v>0</v>
      </c>
      <c r="P243" t="n">
        <v>0</v>
      </c>
      <c r="Q243" t="n">
        <v>0</v>
      </c>
      <c r="R243" s="2" t="inlineStr"/>
      <c r="U243">
        <f>HYPERLINK("https://klasma.github.io/Logging_1907/knärot/A 48906-2023 karta knärot.png", "A 48906-2023")</f>
        <v/>
      </c>
      <c r="V243">
        <f>HYPERLINK("https://klasma.github.io/Logging_1907/klagomål/A 48906-2023 FSC-klagomål.docx", "A 48906-2023")</f>
        <v/>
      </c>
      <c r="W243">
        <f>HYPERLINK("https://klasma.github.io/Logging_1907/klagomålsmail/A 48906-2023 FSC-klagomål mail.docx", "A 48906-2023")</f>
        <v/>
      </c>
      <c r="X243">
        <f>HYPERLINK("https://klasma.github.io/Logging_1907/tillsyn/A 48906-2023 tillsynsbegäran.docx", "A 48906-2023")</f>
        <v/>
      </c>
      <c r="Y243">
        <f>HYPERLINK("https://klasma.github.io/Logging_1907/tillsynsmail/A 48906-2023 tillsynsbegäran mail.docx", "A 48906-2023")</f>
        <v/>
      </c>
    </row>
    <row r="244" ht="15" customHeight="1">
      <c r="A244" t="inlineStr">
        <is>
          <t>A 48205-2023</t>
        </is>
      </c>
      <c r="B244" s="1" t="n">
        <v>45205</v>
      </c>
      <c r="C244" s="1" t="n">
        <v>45588</v>
      </c>
      <c r="D244" t="inlineStr">
        <is>
          <t>VÄSTMANLANDS LÄN</t>
        </is>
      </c>
      <c r="E244" t="inlineStr">
        <is>
          <t>SURAHAMMAR</t>
        </is>
      </c>
      <c r="F244" t="inlineStr">
        <is>
          <t>Allmännings- och besparingsskogar</t>
        </is>
      </c>
      <c r="G244" t="n">
        <v>7.6</v>
      </c>
      <c r="H244" t="n">
        <v>0</v>
      </c>
      <c r="I244" t="n">
        <v>0</v>
      </c>
      <c r="J244" t="n">
        <v>0</v>
      </c>
      <c r="K244" t="n">
        <v>0</v>
      </c>
      <c r="L244" t="n">
        <v>0</v>
      </c>
      <c r="M244" t="n">
        <v>0</v>
      </c>
      <c r="N244" t="n">
        <v>0</v>
      </c>
      <c r="O244" t="n">
        <v>0</v>
      </c>
      <c r="P244" t="n">
        <v>0</v>
      </c>
      <c r="Q244" t="n">
        <v>0</v>
      </c>
      <c r="R244" s="2" t="inlineStr"/>
    </row>
    <row r="245" ht="15" customHeight="1">
      <c r="A245" t="inlineStr">
        <is>
          <t>A 56378-2023</t>
        </is>
      </c>
      <c r="B245" s="1" t="n">
        <v>45236</v>
      </c>
      <c r="C245" s="1" t="n">
        <v>45588</v>
      </c>
      <c r="D245" t="inlineStr">
        <is>
          <t>VÄSTMANLANDS LÄN</t>
        </is>
      </c>
      <c r="E245" t="inlineStr">
        <is>
          <t>SURAHAMMAR</t>
        </is>
      </c>
      <c r="F245" t="inlineStr">
        <is>
          <t>Bergvik skog väst AB</t>
        </is>
      </c>
      <c r="G245" t="n">
        <v>3.6</v>
      </c>
      <c r="H245" t="n">
        <v>0</v>
      </c>
      <c r="I245" t="n">
        <v>0</v>
      </c>
      <c r="J245" t="n">
        <v>0</v>
      </c>
      <c r="K245" t="n">
        <v>0</v>
      </c>
      <c r="L245" t="n">
        <v>0</v>
      </c>
      <c r="M245" t="n">
        <v>0</v>
      </c>
      <c r="N245" t="n">
        <v>0</v>
      </c>
      <c r="O245" t="n">
        <v>0</v>
      </c>
      <c r="P245" t="n">
        <v>0</v>
      </c>
      <c r="Q245" t="n">
        <v>0</v>
      </c>
      <c r="R245" s="2" t="inlineStr"/>
    </row>
    <row r="246" ht="15" customHeight="1">
      <c r="A246" t="inlineStr">
        <is>
          <t>A 56183-2023</t>
        </is>
      </c>
      <c r="B246" s="1" t="n">
        <v>45240</v>
      </c>
      <c r="C246" s="1" t="n">
        <v>45588</v>
      </c>
      <c r="D246" t="inlineStr">
        <is>
          <t>VÄSTMANLANDS LÄN</t>
        </is>
      </c>
      <c r="E246" t="inlineStr">
        <is>
          <t>SURAHAMMAR</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58338-2023</t>
        </is>
      </c>
      <c r="B247" s="1" t="n">
        <v>45250</v>
      </c>
      <c r="C247" s="1" t="n">
        <v>45588</v>
      </c>
      <c r="D247" t="inlineStr">
        <is>
          <t>VÄSTMANLANDS LÄN</t>
        </is>
      </c>
      <c r="E247" t="inlineStr">
        <is>
          <t>SURAHAMMAR</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58356-2023</t>
        </is>
      </c>
      <c r="B248" s="1" t="n">
        <v>45250</v>
      </c>
      <c r="C248" s="1" t="n">
        <v>45588</v>
      </c>
      <c r="D248" t="inlineStr">
        <is>
          <t>VÄSTMANLANDS LÄN</t>
        </is>
      </c>
      <c r="E248" t="inlineStr">
        <is>
          <t>SURAHAMMAR</t>
        </is>
      </c>
      <c r="F248" t="inlineStr">
        <is>
          <t>Allmännings- och besparingsskogar</t>
        </is>
      </c>
      <c r="G248" t="n">
        <v>2.2</v>
      </c>
      <c r="H248" t="n">
        <v>0</v>
      </c>
      <c r="I248" t="n">
        <v>0</v>
      </c>
      <c r="J248" t="n">
        <v>0</v>
      </c>
      <c r="K248" t="n">
        <v>0</v>
      </c>
      <c r="L248" t="n">
        <v>0</v>
      </c>
      <c r="M248" t="n">
        <v>0</v>
      </c>
      <c r="N248" t="n">
        <v>0</v>
      </c>
      <c r="O248" t="n">
        <v>0</v>
      </c>
      <c r="P248" t="n">
        <v>0</v>
      </c>
      <c r="Q248" t="n">
        <v>0</v>
      </c>
      <c r="R248" s="2" t="inlineStr"/>
    </row>
    <row r="249" ht="15" customHeight="1">
      <c r="A249" t="inlineStr">
        <is>
          <t>A 59317-2023</t>
        </is>
      </c>
      <c r="B249" s="1" t="n">
        <v>45253</v>
      </c>
      <c r="C249" s="1" t="n">
        <v>45588</v>
      </c>
      <c r="D249" t="inlineStr">
        <is>
          <t>VÄSTMANLANDS LÄN</t>
        </is>
      </c>
      <c r="E249" t="inlineStr">
        <is>
          <t>SURAHAMMAR</t>
        </is>
      </c>
      <c r="G249" t="n">
        <v>7.1</v>
      </c>
      <c r="H249" t="n">
        <v>0</v>
      </c>
      <c r="I249" t="n">
        <v>0</v>
      </c>
      <c r="J249" t="n">
        <v>0</v>
      </c>
      <c r="K249" t="n">
        <v>0</v>
      </c>
      <c r="L249" t="n">
        <v>0</v>
      </c>
      <c r="M249" t="n">
        <v>0</v>
      </c>
      <c r="N249" t="n">
        <v>0</v>
      </c>
      <c r="O249" t="n">
        <v>0</v>
      </c>
      <c r="P249" t="n">
        <v>0</v>
      </c>
      <c r="Q249" t="n">
        <v>0</v>
      </c>
      <c r="R249" s="2" t="inlineStr"/>
    </row>
    <row r="250" ht="15" customHeight="1">
      <c r="A250" t="inlineStr">
        <is>
          <t>A 64343-2023</t>
        </is>
      </c>
      <c r="B250" s="1" t="n">
        <v>45280</v>
      </c>
      <c r="C250" s="1" t="n">
        <v>45588</v>
      </c>
      <c r="D250" t="inlineStr">
        <is>
          <t>VÄSTMANLANDS LÄN</t>
        </is>
      </c>
      <c r="E250" t="inlineStr">
        <is>
          <t>SURAHAMMAR</t>
        </is>
      </c>
      <c r="G250" t="n">
        <v>2.9</v>
      </c>
      <c r="H250" t="n">
        <v>0</v>
      </c>
      <c r="I250" t="n">
        <v>0</v>
      </c>
      <c r="J250" t="n">
        <v>0</v>
      </c>
      <c r="K250" t="n">
        <v>0</v>
      </c>
      <c r="L250" t="n">
        <v>0</v>
      </c>
      <c r="M250" t="n">
        <v>0</v>
      </c>
      <c r="N250" t="n">
        <v>0</v>
      </c>
      <c r="O250" t="n">
        <v>0</v>
      </c>
      <c r="P250" t="n">
        <v>0</v>
      </c>
      <c r="Q250" t="n">
        <v>0</v>
      </c>
      <c r="R250" s="2" t="inlineStr"/>
    </row>
    <row r="251" ht="15" customHeight="1">
      <c r="A251" t="inlineStr">
        <is>
          <t>A 1316-2024</t>
        </is>
      </c>
      <c r="B251" s="1" t="n">
        <v>45303</v>
      </c>
      <c r="C251" s="1" t="n">
        <v>45588</v>
      </c>
      <c r="D251" t="inlineStr">
        <is>
          <t>VÄSTMANLANDS LÄN</t>
        </is>
      </c>
      <c r="E251" t="inlineStr">
        <is>
          <t>SURAHAMMAR</t>
        </is>
      </c>
      <c r="G251" t="n">
        <v>1</v>
      </c>
      <c r="H251" t="n">
        <v>0</v>
      </c>
      <c r="I251" t="n">
        <v>0</v>
      </c>
      <c r="J251" t="n">
        <v>0</v>
      </c>
      <c r="K251" t="n">
        <v>0</v>
      </c>
      <c r="L251" t="n">
        <v>0</v>
      </c>
      <c r="M251" t="n">
        <v>0</v>
      </c>
      <c r="N251" t="n">
        <v>0</v>
      </c>
      <c r="O251" t="n">
        <v>0</v>
      </c>
      <c r="P251" t="n">
        <v>0</v>
      </c>
      <c r="Q251" t="n">
        <v>0</v>
      </c>
      <c r="R251" s="2" t="inlineStr"/>
    </row>
    <row r="252" ht="15" customHeight="1">
      <c r="A252" t="inlineStr">
        <is>
          <t>A 2680-2024</t>
        </is>
      </c>
      <c r="B252" s="1" t="n">
        <v>45310</v>
      </c>
      <c r="C252" s="1" t="n">
        <v>45588</v>
      </c>
      <c r="D252" t="inlineStr">
        <is>
          <t>VÄSTMANLANDS LÄN</t>
        </is>
      </c>
      <c r="E252" t="inlineStr">
        <is>
          <t>SURAHAMMAR</t>
        </is>
      </c>
      <c r="G252" t="n">
        <v>1.8</v>
      </c>
      <c r="H252" t="n">
        <v>0</v>
      </c>
      <c r="I252" t="n">
        <v>0</v>
      </c>
      <c r="J252" t="n">
        <v>0</v>
      </c>
      <c r="K252" t="n">
        <v>0</v>
      </c>
      <c r="L252" t="n">
        <v>0</v>
      </c>
      <c r="M252" t="n">
        <v>0</v>
      </c>
      <c r="N252" t="n">
        <v>0</v>
      </c>
      <c r="O252" t="n">
        <v>0</v>
      </c>
      <c r="P252" t="n">
        <v>0</v>
      </c>
      <c r="Q252" t="n">
        <v>0</v>
      </c>
      <c r="R252" s="2" t="inlineStr"/>
    </row>
    <row r="253" ht="15" customHeight="1">
      <c r="A253" t="inlineStr">
        <is>
          <t>A 2660-2024</t>
        </is>
      </c>
      <c r="B253" s="1" t="n">
        <v>45310</v>
      </c>
      <c r="C253" s="1" t="n">
        <v>45588</v>
      </c>
      <c r="D253" t="inlineStr">
        <is>
          <t>VÄSTMANLANDS LÄN</t>
        </is>
      </c>
      <c r="E253" t="inlineStr">
        <is>
          <t>SURAHAMMAR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2866-2024</t>
        </is>
      </c>
      <c r="B254" s="1" t="n">
        <v>45315</v>
      </c>
      <c r="C254" s="1" t="n">
        <v>45588</v>
      </c>
      <c r="D254" t="inlineStr">
        <is>
          <t>VÄSTMANLANDS LÄN</t>
        </is>
      </c>
      <c r="E254" t="inlineStr">
        <is>
          <t>SURAHAMMAR</t>
        </is>
      </c>
      <c r="F254" t="inlineStr">
        <is>
          <t>Bergvik skog väst AB</t>
        </is>
      </c>
      <c r="G254" t="n">
        <v>5.1</v>
      </c>
      <c r="H254" t="n">
        <v>0</v>
      </c>
      <c r="I254" t="n">
        <v>0</v>
      </c>
      <c r="J254" t="n">
        <v>0</v>
      </c>
      <c r="K254" t="n">
        <v>0</v>
      </c>
      <c r="L254" t="n">
        <v>0</v>
      </c>
      <c r="M254" t="n">
        <v>0</v>
      </c>
      <c r="N254" t="n">
        <v>0</v>
      </c>
      <c r="O254" t="n">
        <v>0</v>
      </c>
      <c r="P254" t="n">
        <v>0</v>
      </c>
      <c r="Q254" t="n">
        <v>0</v>
      </c>
      <c r="R254" s="2" t="inlineStr"/>
    </row>
    <row r="255" ht="15" customHeight="1">
      <c r="A255" t="inlineStr">
        <is>
          <t>A 2867-2024</t>
        </is>
      </c>
      <c r="B255" s="1" t="n">
        <v>45315</v>
      </c>
      <c r="C255" s="1" t="n">
        <v>45588</v>
      </c>
      <c r="D255" t="inlineStr">
        <is>
          <t>VÄSTMANLANDS LÄN</t>
        </is>
      </c>
      <c r="E255" t="inlineStr">
        <is>
          <t>SURAHAMMAR</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4759-2024</t>
        </is>
      </c>
      <c r="B256" s="1" t="n">
        <v>45328</v>
      </c>
      <c r="C256" s="1" t="n">
        <v>45588</v>
      </c>
      <c r="D256" t="inlineStr">
        <is>
          <t>VÄSTMANLANDS LÄN</t>
        </is>
      </c>
      <c r="E256" t="inlineStr">
        <is>
          <t>SURAHAMMAR</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5168-2024</t>
        </is>
      </c>
      <c r="B257" s="1" t="n">
        <v>45330</v>
      </c>
      <c r="C257" s="1" t="n">
        <v>45588</v>
      </c>
      <c r="D257" t="inlineStr">
        <is>
          <t>VÄSTMANLANDS LÄN</t>
        </is>
      </c>
      <c r="E257" t="inlineStr">
        <is>
          <t>SURAHAMMAR</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7787-2024</t>
        </is>
      </c>
      <c r="B258" s="1" t="n">
        <v>45348</v>
      </c>
      <c r="C258" s="1" t="n">
        <v>45588</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7782-2024</t>
        </is>
      </c>
      <c r="B259" s="1" t="n">
        <v>45349</v>
      </c>
      <c r="C259" s="1" t="n">
        <v>45588</v>
      </c>
      <c r="D259" t="inlineStr">
        <is>
          <t>VÄSTMANLANDS LÄN</t>
        </is>
      </c>
      <c r="E259" t="inlineStr">
        <is>
          <t>SURAHAMMAR</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8066-2024</t>
        </is>
      </c>
      <c r="B260" s="1" t="n">
        <v>45351</v>
      </c>
      <c r="C260" s="1" t="n">
        <v>45588</v>
      </c>
      <c r="D260" t="inlineStr">
        <is>
          <t>VÄSTMANLANDS LÄN</t>
        </is>
      </c>
      <c r="E260" t="inlineStr">
        <is>
          <t>SURAHAMMAR</t>
        </is>
      </c>
      <c r="G260" t="n">
        <v>12.7</v>
      </c>
      <c r="H260" t="n">
        <v>0</v>
      </c>
      <c r="I260" t="n">
        <v>0</v>
      </c>
      <c r="J260" t="n">
        <v>0</v>
      </c>
      <c r="K260" t="n">
        <v>0</v>
      </c>
      <c r="L260" t="n">
        <v>0</v>
      </c>
      <c r="M260" t="n">
        <v>0</v>
      </c>
      <c r="N260" t="n">
        <v>0</v>
      </c>
      <c r="O260" t="n">
        <v>0</v>
      </c>
      <c r="P260" t="n">
        <v>0</v>
      </c>
      <c r="Q260" t="n">
        <v>0</v>
      </c>
      <c r="R260" s="2" t="inlineStr"/>
    </row>
    <row r="261" ht="15" customHeight="1">
      <c r="A261" t="inlineStr">
        <is>
          <t>A 9741-2024</t>
        </is>
      </c>
      <c r="B261" s="1" t="n">
        <v>45362</v>
      </c>
      <c r="C261" s="1" t="n">
        <v>45588</v>
      </c>
      <c r="D261" t="inlineStr">
        <is>
          <t>VÄSTMANLANDS LÄN</t>
        </is>
      </c>
      <c r="E261" t="inlineStr">
        <is>
          <t>SURAHAMMAR</t>
        </is>
      </c>
      <c r="G261" t="n">
        <v>4.6</v>
      </c>
      <c r="H261" t="n">
        <v>0</v>
      </c>
      <c r="I261" t="n">
        <v>0</v>
      </c>
      <c r="J261" t="n">
        <v>0</v>
      </c>
      <c r="K261" t="n">
        <v>0</v>
      </c>
      <c r="L261" t="n">
        <v>0</v>
      </c>
      <c r="M261" t="n">
        <v>0</v>
      </c>
      <c r="N261" t="n">
        <v>0</v>
      </c>
      <c r="O261" t="n">
        <v>0</v>
      </c>
      <c r="P261" t="n">
        <v>0</v>
      </c>
      <c r="Q261" t="n">
        <v>0</v>
      </c>
      <c r="R261" s="2" t="inlineStr"/>
    </row>
    <row r="262" ht="15" customHeight="1">
      <c r="A262" t="inlineStr">
        <is>
          <t>A 21509-2024</t>
        </is>
      </c>
      <c r="B262" s="1" t="n">
        <v>45441</v>
      </c>
      <c r="C262" s="1" t="n">
        <v>45588</v>
      </c>
      <c r="D262" t="inlineStr">
        <is>
          <t>VÄSTMANLANDS LÄN</t>
        </is>
      </c>
      <c r="E262" t="inlineStr">
        <is>
          <t>SURAHAMMAR</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24167-2024</t>
        </is>
      </c>
      <c r="B263" s="1" t="n">
        <v>45456</v>
      </c>
      <c r="C263" s="1" t="n">
        <v>45588</v>
      </c>
      <c r="D263" t="inlineStr">
        <is>
          <t>VÄSTMANLANDS LÄN</t>
        </is>
      </c>
      <c r="E263" t="inlineStr">
        <is>
          <t>SURAHAMMAR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24168-2024</t>
        </is>
      </c>
      <c r="B264" s="1" t="n">
        <v>45456</v>
      </c>
      <c r="C264" s="1" t="n">
        <v>45588</v>
      </c>
      <c r="D264" t="inlineStr">
        <is>
          <t>VÄSTMANLANDS LÄN</t>
        </is>
      </c>
      <c r="E264" t="inlineStr">
        <is>
          <t>SURAHAMMAR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24570-2024</t>
        </is>
      </c>
      <c r="B265" s="1" t="n">
        <v>45460</v>
      </c>
      <c r="C265" s="1" t="n">
        <v>45588</v>
      </c>
      <c r="D265" t="inlineStr">
        <is>
          <t>VÄSTMANLANDS LÄN</t>
        </is>
      </c>
      <c r="E265" t="inlineStr">
        <is>
          <t>SURAHAMMAR</t>
        </is>
      </c>
      <c r="G265" t="n">
        <v>0.8</v>
      </c>
      <c r="H265" t="n">
        <v>0</v>
      </c>
      <c r="I265" t="n">
        <v>0</v>
      </c>
      <c r="J265" t="n">
        <v>0</v>
      </c>
      <c r="K265" t="n">
        <v>0</v>
      </c>
      <c r="L265" t="n">
        <v>0</v>
      </c>
      <c r="M265" t="n">
        <v>0</v>
      </c>
      <c r="N265" t="n">
        <v>0</v>
      </c>
      <c r="O265" t="n">
        <v>0</v>
      </c>
      <c r="P265" t="n">
        <v>0</v>
      </c>
      <c r="Q265" t="n">
        <v>0</v>
      </c>
      <c r="R265" s="2" t="inlineStr"/>
    </row>
    <row r="266" ht="15" customHeight="1">
      <c r="A266" t="inlineStr">
        <is>
          <t>A 24530-2024</t>
        </is>
      </c>
      <c r="B266" s="1" t="n">
        <v>45460</v>
      </c>
      <c r="C266" s="1" t="n">
        <v>45588</v>
      </c>
      <c r="D266" t="inlineStr">
        <is>
          <t>VÄSTMANLANDS LÄN</t>
        </is>
      </c>
      <c r="E266" t="inlineStr">
        <is>
          <t>SURAHAMMAR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25450-2024</t>
        </is>
      </c>
      <c r="B267" s="1" t="n">
        <v>45463</v>
      </c>
      <c r="C267" s="1" t="n">
        <v>45588</v>
      </c>
      <c r="D267" t="inlineStr">
        <is>
          <t>VÄSTMANLANDS LÄN</t>
        </is>
      </c>
      <c r="E267" t="inlineStr">
        <is>
          <t>SURAHAMMAR</t>
        </is>
      </c>
      <c r="F267" t="inlineStr">
        <is>
          <t>Bergvik skog väst AB</t>
        </is>
      </c>
      <c r="G267" t="n">
        <v>6.7</v>
      </c>
      <c r="H267" t="n">
        <v>0</v>
      </c>
      <c r="I267" t="n">
        <v>0</v>
      </c>
      <c r="J267" t="n">
        <v>0</v>
      </c>
      <c r="K267" t="n">
        <v>0</v>
      </c>
      <c r="L267" t="n">
        <v>0</v>
      </c>
      <c r="M267" t="n">
        <v>0</v>
      </c>
      <c r="N267" t="n">
        <v>0</v>
      </c>
      <c r="O267" t="n">
        <v>0</v>
      </c>
      <c r="P267" t="n">
        <v>0</v>
      </c>
      <c r="Q267" t="n">
        <v>0</v>
      </c>
      <c r="R267" s="2" t="inlineStr"/>
    </row>
    <row r="268" ht="15" customHeight="1">
      <c r="A268" t="inlineStr">
        <is>
          <t>A 25417-2024</t>
        </is>
      </c>
      <c r="B268" s="1" t="n">
        <v>45463</v>
      </c>
      <c r="C268" s="1" t="n">
        <v>45588</v>
      </c>
      <c r="D268" t="inlineStr">
        <is>
          <t>VÄSTMANLANDS LÄN</t>
        </is>
      </c>
      <c r="E268" t="inlineStr">
        <is>
          <t>SURAHAMMAR</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26878-2024</t>
        </is>
      </c>
      <c r="B269" s="1" t="n">
        <v>45470</v>
      </c>
      <c r="C269" s="1" t="n">
        <v>45588</v>
      </c>
      <c r="D269" t="inlineStr">
        <is>
          <t>VÄSTMANLANDS LÄN</t>
        </is>
      </c>
      <c r="E269" t="inlineStr">
        <is>
          <t>SURAHAMMAR</t>
        </is>
      </c>
      <c r="F269" t="inlineStr">
        <is>
          <t>Sveaskog</t>
        </is>
      </c>
      <c r="G269" t="n">
        <v>6.1</v>
      </c>
      <c r="H269" t="n">
        <v>0</v>
      </c>
      <c r="I269" t="n">
        <v>0</v>
      </c>
      <c r="J269" t="n">
        <v>0</v>
      </c>
      <c r="K269" t="n">
        <v>0</v>
      </c>
      <c r="L269" t="n">
        <v>0</v>
      </c>
      <c r="M269" t="n">
        <v>0</v>
      </c>
      <c r="N269" t="n">
        <v>0</v>
      </c>
      <c r="O269" t="n">
        <v>0</v>
      </c>
      <c r="P269" t="n">
        <v>0</v>
      </c>
      <c r="Q269" t="n">
        <v>0</v>
      </c>
      <c r="R269" s="2" t="inlineStr"/>
    </row>
    <row r="270" ht="15" customHeight="1">
      <c r="A270" t="inlineStr">
        <is>
          <t>A 28812-2024</t>
        </is>
      </c>
      <c r="B270" s="1" t="n">
        <v>45478</v>
      </c>
      <c r="C270" s="1" t="n">
        <v>45588</v>
      </c>
      <c r="D270" t="inlineStr">
        <is>
          <t>VÄSTMANLANDS LÄN</t>
        </is>
      </c>
      <c r="E270" t="inlineStr">
        <is>
          <t>SURAHAMMAR</t>
        </is>
      </c>
      <c r="F270" t="inlineStr">
        <is>
          <t>Bergvik skog väst AB</t>
        </is>
      </c>
      <c r="G270" t="n">
        <v>17.8</v>
      </c>
      <c r="H270" t="n">
        <v>0</v>
      </c>
      <c r="I270" t="n">
        <v>0</v>
      </c>
      <c r="J270" t="n">
        <v>0</v>
      </c>
      <c r="K270" t="n">
        <v>0</v>
      </c>
      <c r="L270" t="n">
        <v>0</v>
      </c>
      <c r="M270" t="n">
        <v>0</v>
      </c>
      <c r="N270" t="n">
        <v>0</v>
      </c>
      <c r="O270" t="n">
        <v>0</v>
      </c>
      <c r="P270" t="n">
        <v>0</v>
      </c>
      <c r="Q270" t="n">
        <v>0</v>
      </c>
      <c r="R270" s="2" t="inlineStr"/>
    </row>
    <row r="271" ht="15" customHeight="1">
      <c r="A271" t="inlineStr">
        <is>
          <t>A 29158-2024</t>
        </is>
      </c>
      <c r="B271" s="1" t="n">
        <v>45482</v>
      </c>
      <c r="C271" s="1" t="n">
        <v>45588</v>
      </c>
      <c r="D271" t="inlineStr">
        <is>
          <t>VÄSTMANLANDS LÄN</t>
        </is>
      </c>
      <c r="E271" t="inlineStr">
        <is>
          <t>SURAHAMMAR</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31192-2024</t>
        </is>
      </c>
      <c r="B272" s="1" t="n">
        <v>45503</v>
      </c>
      <c r="C272" s="1" t="n">
        <v>45588</v>
      </c>
      <c r="D272" t="inlineStr">
        <is>
          <t>VÄSTMANLANDS LÄN</t>
        </is>
      </c>
      <c r="E272" t="inlineStr">
        <is>
          <t>SURAHAMMAR</t>
        </is>
      </c>
      <c r="F272" t="inlineStr">
        <is>
          <t>Allmännings- och besparingsskogar</t>
        </is>
      </c>
      <c r="G272" t="n">
        <v>17.2</v>
      </c>
      <c r="H272" t="n">
        <v>0</v>
      </c>
      <c r="I272" t="n">
        <v>0</v>
      </c>
      <c r="J272" t="n">
        <v>0</v>
      </c>
      <c r="K272" t="n">
        <v>0</v>
      </c>
      <c r="L272" t="n">
        <v>0</v>
      </c>
      <c r="M272" t="n">
        <v>0</v>
      </c>
      <c r="N272" t="n">
        <v>0</v>
      </c>
      <c r="O272" t="n">
        <v>0</v>
      </c>
      <c r="P272" t="n">
        <v>0</v>
      </c>
      <c r="Q272" t="n">
        <v>0</v>
      </c>
      <c r="R272" s="2" t="inlineStr"/>
    </row>
    <row r="273" ht="15" customHeight="1">
      <c r="A273" t="inlineStr">
        <is>
          <t>A 32808-2024</t>
        </is>
      </c>
      <c r="B273" s="1" t="n">
        <v>45516</v>
      </c>
      <c r="C273" s="1" t="n">
        <v>45588</v>
      </c>
      <c r="D273" t="inlineStr">
        <is>
          <t>VÄSTMANLANDS LÄN</t>
        </is>
      </c>
      <c r="E273" t="inlineStr">
        <is>
          <t>SURAHAMMAR</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33231-2024</t>
        </is>
      </c>
      <c r="B274" s="1" t="n">
        <v>45518</v>
      </c>
      <c r="C274" s="1" t="n">
        <v>45588</v>
      </c>
      <c r="D274" t="inlineStr">
        <is>
          <t>VÄSTMANLANDS LÄN</t>
        </is>
      </c>
      <c r="E274" t="inlineStr">
        <is>
          <t>SURAHAMMAR</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33160-2024</t>
        </is>
      </c>
      <c r="B275" s="1" t="n">
        <v>45518</v>
      </c>
      <c r="C275" s="1" t="n">
        <v>45588</v>
      </c>
      <c r="D275" t="inlineStr">
        <is>
          <t>VÄSTMANLANDS LÄN</t>
        </is>
      </c>
      <c r="E275" t="inlineStr">
        <is>
          <t>SURAHAMMAR</t>
        </is>
      </c>
      <c r="G275" t="n">
        <v>1</v>
      </c>
      <c r="H275" t="n">
        <v>0</v>
      </c>
      <c r="I275" t="n">
        <v>0</v>
      </c>
      <c r="J275" t="n">
        <v>0</v>
      </c>
      <c r="K275" t="n">
        <v>0</v>
      </c>
      <c r="L275" t="n">
        <v>0</v>
      </c>
      <c r="M275" t="n">
        <v>0</v>
      </c>
      <c r="N275" t="n">
        <v>0</v>
      </c>
      <c r="O275" t="n">
        <v>0</v>
      </c>
      <c r="P275" t="n">
        <v>0</v>
      </c>
      <c r="Q275" t="n">
        <v>0</v>
      </c>
      <c r="R275" s="2" t="inlineStr"/>
    </row>
    <row r="276" ht="15" customHeight="1">
      <c r="A276" t="inlineStr">
        <is>
          <t>A 42406-2024</t>
        </is>
      </c>
      <c r="B276" s="1" t="n">
        <v>45565</v>
      </c>
      <c r="C276" s="1" t="n">
        <v>45588</v>
      </c>
      <c r="D276" t="inlineStr">
        <is>
          <t>VÄSTMANLANDS LÄN</t>
        </is>
      </c>
      <c r="E276" t="inlineStr">
        <is>
          <t>SURAHAMMAR</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43461-2024</t>
        </is>
      </c>
      <c r="B277" s="1" t="n">
        <v>45568</v>
      </c>
      <c r="C277" s="1" t="n">
        <v>45588</v>
      </c>
      <c r="D277" t="inlineStr">
        <is>
          <t>VÄSTMANLANDS LÄN</t>
        </is>
      </c>
      <c r="E277" t="inlineStr">
        <is>
          <t>SURAHAMMAR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43455-2024</t>
        </is>
      </c>
      <c r="B278" s="1" t="n">
        <v>45568</v>
      </c>
      <c r="C278" s="1" t="n">
        <v>45588</v>
      </c>
      <c r="D278" t="inlineStr">
        <is>
          <t>VÄSTMANLANDS LÄN</t>
        </is>
      </c>
      <c r="E278" t="inlineStr">
        <is>
          <t>SURAHAMMAR</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44356-2024</t>
        </is>
      </c>
      <c r="B279" s="1" t="n">
        <v>45573</v>
      </c>
      <c r="C279" s="1" t="n">
        <v>45588</v>
      </c>
      <c r="D279" t="inlineStr">
        <is>
          <t>VÄSTMANLANDS LÄN</t>
        </is>
      </c>
      <c r="E279" t="inlineStr">
        <is>
          <t>SURAHAMMAR</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44353-2024</t>
        </is>
      </c>
      <c r="B280" s="1" t="n">
        <v>45573</v>
      </c>
      <c r="C280" s="1" t="n">
        <v>45588</v>
      </c>
      <c r="D280" t="inlineStr">
        <is>
          <t>VÄSTMANLANDS LÄN</t>
        </is>
      </c>
      <c r="E280" t="inlineStr">
        <is>
          <t>SURAHAMMAR</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44357-2024</t>
        </is>
      </c>
      <c r="B281" s="1" t="n">
        <v>45573</v>
      </c>
      <c r="C281" s="1" t="n">
        <v>45588</v>
      </c>
      <c r="D281" t="inlineStr">
        <is>
          <t>VÄSTMANLANDS LÄN</t>
        </is>
      </c>
      <c r="E281" t="inlineStr">
        <is>
          <t>SURAHAMMAR</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44355-2024</t>
        </is>
      </c>
      <c r="B282" s="1" t="n">
        <v>45573</v>
      </c>
      <c r="C282" s="1" t="n">
        <v>45588</v>
      </c>
      <c r="D282" t="inlineStr">
        <is>
          <t>VÄSTMANLANDS LÄN</t>
        </is>
      </c>
      <c r="E282" t="inlineStr">
        <is>
          <t>SURAHAMMAR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44359-2024</t>
        </is>
      </c>
      <c r="B283" s="1" t="n">
        <v>45573</v>
      </c>
      <c r="C283" s="1" t="n">
        <v>45588</v>
      </c>
      <c r="D283" t="inlineStr">
        <is>
          <t>VÄSTMANLANDS LÄN</t>
        </is>
      </c>
      <c r="E283" t="inlineStr">
        <is>
          <t>SURAHAMMAR</t>
        </is>
      </c>
      <c r="F283" t="inlineStr">
        <is>
          <t>Sveaskog</t>
        </is>
      </c>
      <c r="G283" t="n">
        <v>2.7</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45588</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45735-2024</t>
        </is>
      </c>
      <c r="B285" s="1" t="n">
        <v>45579</v>
      </c>
      <c r="C285" s="1" t="n">
        <v>45588</v>
      </c>
      <c r="D285" t="inlineStr">
        <is>
          <t>VÄSTMANLANDS LÄN</t>
        </is>
      </c>
      <c r="E285" t="inlineStr">
        <is>
          <t>SURAHAMMAR</t>
        </is>
      </c>
      <c r="F285" t="inlineStr">
        <is>
          <t>Sveaskog</t>
        </is>
      </c>
      <c r="G285" t="n">
        <v>13.5</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45588</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c r="A287" t="inlineStr">
        <is>
          <t>A 47447-2024</t>
        </is>
      </c>
      <c r="B287" s="1" t="n">
        <v>45587</v>
      </c>
      <c r="C287" s="1" t="n">
        <v>45588</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2024-10-23T13:12:48Z</dcterms:created>
  <dcterms:modified xmlns:dcterms="http://purl.org/dc/terms/" xmlns:xsi="http://www.w3.org/2001/XMLSchema-instance" xsi:type="dcterms:W3CDTF">2024-10-23T13:12:48Z</dcterms:modified>
</cp:coreProperties>
</file>