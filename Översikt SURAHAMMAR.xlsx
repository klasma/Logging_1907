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45908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45908</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45908</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45908</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45908</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45908</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25573-2024</t>
        </is>
      </c>
      <c r="B8" s="1" t="n">
        <v>45463</v>
      </c>
      <c r="C8" s="1" t="n">
        <v>45908</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45908</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45908</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45908</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45908</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45908</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45908</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45908</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14815-2025</t>
        </is>
      </c>
      <c r="B16" s="1" t="n">
        <v>45743.34931712963</v>
      </c>
      <c r="C16" s="1" t="n">
        <v>45908</v>
      </c>
      <c r="D16" t="inlineStr">
        <is>
          <t>VÄSTMANLANDS LÄN</t>
        </is>
      </c>
      <c r="E16" t="inlineStr">
        <is>
          <t>SURAHAMMAR</t>
        </is>
      </c>
      <c r="F16" t="inlineStr">
        <is>
          <t>Allmännings- och besparingsskogar</t>
        </is>
      </c>
      <c r="G16" t="n">
        <v>6.8</v>
      </c>
      <c r="H16" t="n">
        <v>2</v>
      </c>
      <c r="I16" t="n">
        <v>3</v>
      </c>
      <c r="J16" t="n">
        <v>1</v>
      </c>
      <c r="K16" t="n">
        <v>1</v>
      </c>
      <c r="L16" t="n">
        <v>0</v>
      </c>
      <c r="M16" t="n">
        <v>0</v>
      </c>
      <c r="N16" t="n">
        <v>0</v>
      </c>
      <c r="O16" t="n">
        <v>2</v>
      </c>
      <c r="P16" t="n">
        <v>1</v>
      </c>
      <c r="Q16" t="n">
        <v>6</v>
      </c>
      <c r="R16" s="2" t="inlineStr">
        <is>
          <t>Bombmurkla
Veckticka
Brandticka
Vedticka
Vårärt
Blåsippa</t>
        </is>
      </c>
      <c r="S16">
        <f>HYPERLINK("https://klasma.github.io/Logging_1907/artfynd/A 14815-2025 artfynd.xlsx", "A 14815-2025")</f>
        <v/>
      </c>
      <c r="T16">
        <f>HYPERLINK("https://klasma.github.io/Logging_1907/kartor/A 14815-2025 karta.png", "A 14815-2025")</f>
        <v/>
      </c>
      <c r="V16">
        <f>HYPERLINK("https://klasma.github.io/Logging_1907/klagomål/A 14815-2025 FSC-klagomål.docx", "A 14815-2025")</f>
        <v/>
      </c>
      <c r="W16">
        <f>HYPERLINK("https://klasma.github.io/Logging_1907/klagomålsmail/A 14815-2025 FSC-klagomål mail.docx", "A 14815-2025")</f>
        <v/>
      </c>
      <c r="X16">
        <f>HYPERLINK("https://klasma.github.io/Logging_1907/tillsyn/A 14815-2025 tillsynsbegäran.docx", "A 14815-2025")</f>
        <v/>
      </c>
      <c r="Y16">
        <f>HYPERLINK("https://klasma.github.io/Logging_1907/tillsynsmail/A 14815-2025 tillsynsbegäran mail.docx", "A 14815-2025")</f>
        <v/>
      </c>
    </row>
    <row r="17" ht="15" customHeight="1">
      <c r="A17" t="inlineStr">
        <is>
          <t>A 7791-2024</t>
        </is>
      </c>
      <c r="B17" s="1" t="n">
        <v>45348</v>
      </c>
      <c r="C17" s="1" t="n">
        <v>45908</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44798-2024</t>
        </is>
      </c>
      <c r="B18" s="1" t="n">
        <v>45574</v>
      </c>
      <c r="C18" s="1" t="n">
        <v>45908</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45908</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4105-2025</t>
        </is>
      </c>
      <c r="B20" s="1" t="n">
        <v>45684</v>
      </c>
      <c r="C20" s="1" t="n">
        <v>45908</v>
      </c>
      <c r="D20" t="inlineStr">
        <is>
          <t>VÄSTMANLANDS LÄN</t>
        </is>
      </c>
      <c r="E20" t="inlineStr">
        <is>
          <t>SURAHAMMAR</t>
        </is>
      </c>
      <c r="F20" t="inlineStr">
        <is>
          <t>Bergvik skog väst AB</t>
        </is>
      </c>
      <c r="G20" t="n">
        <v>14.7</v>
      </c>
      <c r="H20" t="n">
        <v>3</v>
      </c>
      <c r="I20" t="n">
        <v>0</v>
      </c>
      <c r="J20" t="n">
        <v>2</v>
      </c>
      <c r="K20" t="n">
        <v>1</v>
      </c>
      <c r="L20" t="n">
        <v>0</v>
      </c>
      <c r="M20" t="n">
        <v>0</v>
      </c>
      <c r="N20" t="n">
        <v>0</v>
      </c>
      <c r="O20" t="n">
        <v>3</v>
      </c>
      <c r="P20" t="n">
        <v>1</v>
      </c>
      <c r="Q20" t="n">
        <v>4</v>
      </c>
      <c r="R20" s="2" t="inlineStr">
        <is>
          <t>Knärot
Havsörn
Ullticka
Revlummer</t>
        </is>
      </c>
      <c r="S20">
        <f>HYPERLINK("https://klasma.github.io/Logging_1907/artfynd/A 4105-2025 artfynd.xlsx", "A 4105-2025")</f>
        <v/>
      </c>
      <c r="T20">
        <f>HYPERLINK("https://klasma.github.io/Logging_1907/kartor/A 4105-2025 karta.png", "A 4105-2025")</f>
        <v/>
      </c>
      <c r="U20">
        <f>HYPERLINK("https://klasma.github.io/Logging_1907/knärot/A 4105-2025 karta knärot.png", "A 4105-2025")</f>
        <v/>
      </c>
      <c r="V20">
        <f>HYPERLINK("https://klasma.github.io/Logging_1907/klagomål/A 4105-2025 FSC-klagomål.docx", "A 4105-2025")</f>
        <v/>
      </c>
      <c r="W20">
        <f>HYPERLINK("https://klasma.github.io/Logging_1907/klagomålsmail/A 4105-2025 FSC-klagomål mail.docx", "A 4105-2025")</f>
        <v/>
      </c>
      <c r="X20">
        <f>HYPERLINK("https://klasma.github.io/Logging_1907/tillsyn/A 4105-2025 tillsynsbegäran.docx", "A 4105-2025")</f>
        <v/>
      </c>
      <c r="Y20">
        <f>HYPERLINK("https://klasma.github.io/Logging_1907/tillsynsmail/A 4105-2025 tillsynsbegäran mail.docx", "A 4105-2025")</f>
        <v/>
      </c>
      <c r="Z20">
        <f>HYPERLINK("https://klasma.github.io/Logging_1907/fåglar/A 4105-2025 prioriterade fågelarter.docx", "A 4105-2025")</f>
        <v/>
      </c>
    </row>
    <row r="21" ht="15" customHeight="1">
      <c r="A21" t="inlineStr">
        <is>
          <t>A 25548-2024</t>
        </is>
      </c>
      <c r="B21" s="1" t="n">
        <v>45463</v>
      </c>
      <c r="C21" s="1" t="n">
        <v>45908</v>
      </c>
      <c r="D21" t="inlineStr">
        <is>
          <t>VÄSTMANLANDS LÄN</t>
        </is>
      </c>
      <c r="E21" t="inlineStr">
        <is>
          <t>SURAHAMMAR</t>
        </is>
      </c>
      <c r="F21" t="inlineStr">
        <is>
          <t>Bergvik skog väst AB</t>
        </is>
      </c>
      <c r="G21" t="n">
        <v>5.1</v>
      </c>
      <c r="H21" t="n">
        <v>3</v>
      </c>
      <c r="I21" t="n">
        <v>1</v>
      </c>
      <c r="J21" t="n">
        <v>0</v>
      </c>
      <c r="K21" t="n">
        <v>1</v>
      </c>
      <c r="L21" t="n">
        <v>0</v>
      </c>
      <c r="M21" t="n">
        <v>0</v>
      </c>
      <c r="N21" t="n">
        <v>0</v>
      </c>
      <c r="O21" t="n">
        <v>1</v>
      </c>
      <c r="P21" t="n">
        <v>1</v>
      </c>
      <c r="Q21" t="n">
        <v>4</v>
      </c>
      <c r="R21" s="2" t="inlineStr">
        <is>
          <t>Knärot
Vedticka
Fläcknycklar
Nattviol</t>
        </is>
      </c>
      <c r="S21">
        <f>HYPERLINK("https://klasma.github.io/Logging_1907/artfynd/A 25548-2024 artfynd.xlsx", "A 25548-2024")</f>
        <v/>
      </c>
      <c r="T21">
        <f>HYPERLINK("https://klasma.github.io/Logging_1907/kartor/A 25548-2024 karta.png", "A 25548-2024")</f>
        <v/>
      </c>
      <c r="U21">
        <f>HYPERLINK("https://klasma.github.io/Logging_1907/knärot/A 25548-2024 karta knärot.png", "A 25548-2024")</f>
        <v/>
      </c>
      <c r="V21">
        <f>HYPERLINK("https://klasma.github.io/Logging_1907/klagomål/A 25548-2024 FSC-klagomål.docx", "A 25548-2024")</f>
        <v/>
      </c>
      <c r="W21">
        <f>HYPERLINK("https://klasma.github.io/Logging_1907/klagomålsmail/A 25548-2024 FSC-klagomål mail.docx", "A 25548-2024")</f>
        <v/>
      </c>
      <c r="X21">
        <f>HYPERLINK("https://klasma.github.io/Logging_1907/tillsyn/A 25548-2024 tillsynsbegäran.docx", "A 25548-2024")</f>
        <v/>
      </c>
      <c r="Y21">
        <f>HYPERLINK("https://klasma.github.io/Logging_1907/tillsynsmail/A 25548-2024 tillsynsbegäran mail.docx", "A 25548-2024")</f>
        <v/>
      </c>
    </row>
    <row r="22" ht="15" customHeight="1">
      <c r="A22" t="inlineStr">
        <is>
          <t>A 38172-2024</t>
        </is>
      </c>
      <c r="B22" s="1" t="n">
        <v>45545</v>
      </c>
      <c r="C22" s="1" t="n">
        <v>45908</v>
      </c>
      <c r="D22" t="inlineStr">
        <is>
          <t>VÄSTMANLANDS LÄN</t>
        </is>
      </c>
      <c r="E22" t="inlineStr">
        <is>
          <t>SURAHAMMAR</t>
        </is>
      </c>
      <c r="F22" t="inlineStr">
        <is>
          <t>Sveaskog</t>
        </is>
      </c>
      <c r="G22" t="n">
        <v>5.2</v>
      </c>
      <c r="H22" t="n">
        <v>2</v>
      </c>
      <c r="I22" t="n">
        <v>0</v>
      </c>
      <c r="J22" t="n">
        <v>2</v>
      </c>
      <c r="K22" t="n">
        <v>1</v>
      </c>
      <c r="L22" t="n">
        <v>0</v>
      </c>
      <c r="M22" t="n">
        <v>0</v>
      </c>
      <c r="N22" t="n">
        <v>0</v>
      </c>
      <c r="O22" t="n">
        <v>3</v>
      </c>
      <c r="P22" t="n">
        <v>1</v>
      </c>
      <c r="Q22" t="n">
        <v>4</v>
      </c>
      <c r="R22" s="2" t="inlineStr">
        <is>
          <t>Knärot
Gropticka
Vedtrappmossa
Revlummer</t>
        </is>
      </c>
      <c r="S22">
        <f>HYPERLINK("https://klasma.github.io/Logging_1907/artfynd/A 38172-2024 artfynd.xlsx", "A 38172-2024")</f>
        <v/>
      </c>
      <c r="T22">
        <f>HYPERLINK("https://klasma.github.io/Logging_1907/kartor/A 38172-2024 karta.png", "A 38172-2024")</f>
        <v/>
      </c>
      <c r="U22">
        <f>HYPERLINK("https://klasma.github.io/Logging_1907/knärot/A 38172-2024 karta knärot.png", "A 38172-2024")</f>
        <v/>
      </c>
      <c r="V22">
        <f>HYPERLINK("https://klasma.github.io/Logging_1907/klagomål/A 38172-2024 FSC-klagomål.docx", "A 38172-2024")</f>
        <v/>
      </c>
      <c r="W22">
        <f>HYPERLINK("https://klasma.github.io/Logging_1907/klagomålsmail/A 38172-2024 FSC-klagomål mail.docx", "A 38172-2024")</f>
        <v/>
      </c>
      <c r="X22">
        <f>HYPERLINK("https://klasma.github.io/Logging_1907/tillsyn/A 38172-2024 tillsynsbegäran.docx", "A 38172-2024")</f>
        <v/>
      </c>
      <c r="Y22">
        <f>HYPERLINK("https://klasma.github.io/Logging_1907/tillsynsmail/A 38172-2024 tillsynsbegäran mail.docx", "A 38172-2024")</f>
        <v/>
      </c>
    </row>
    <row r="23" ht="15" customHeight="1">
      <c r="A23" t="inlineStr">
        <is>
          <t>A 65024-2023</t>
        </is>
      </c>
      <c r="B23" s="1" t="n">
        <v>45282</v>
      </c>
      <c r="C23" s="1" t="n">
        <v>45908</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45908</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59550-2020</t>
        </is>
      </c>
      <c r="B25" s="1" t="n">
        <v>44148</v>
      </c>
      <c r="C25" s="1" t="n">
        <v>45908</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20391-2024</t>
        </is>
      </c>
      <c r="B26" s="1" t="n">
        <v>45435</v>
      </c>
      <c r="C26" s="1" t="n">
        <v>45908</v>
      </c>
      <c r="D26" t="inlineStr">
        <is>
          <t>VÄSTMANLANDS LÄN</t>
        </is>
      </c>
      <c r="E26" t="inlineStr">
        <is>
          <t>SURAHAMMAR</t>
        </is>
      </c>
      <c r="G26" t="n">
        <v>1.5</v>
      </c>
      <c r="H26" t="n">
        <v>0</v>
      </c>
      <c r="I26" t="n">
        <v>2</v>
      </c>
      <c r="J26" t="n">
        <v>1</v>
      </c>
      <c r="K26" t="n">
        <v>0</v>
      </c>
      <c r="L26" t="n">
        <v>0</v>
      </c>
      <c r="M26" t="n">
        <v>0</v>
      </c>
      <c r="N26" t="n">
        <v>0</v>
      </c>
      <c r="O26" t="n">
        <v>1</v>
      </c>
      <c r="P26" t="n">
        <v>0</v>
      </c>
      <c r="Q26" t="n">
        <v>3</v>
      </c>
      <c r="R26" s="2" t="inlineStr">
        <is>
          <t>Vedtrappmossa
Kattfotslav
Stubbspretmossa</t>
        </is>
      </c>
      <c r="S26">
        <f>HYPERLINK("https://klasma.github.io/Logging_1907/artfynd/A 20391-2024 artfynd.xlsx", "A 20391-2024")</f>
        <v/>
      </c>
      <c r="T26">
        <f>HYPERLINK("https://klasma.github.io/Logging_1907/kartor/A 20391-2024 karta.png", "A 20391-2024")</f>
        <v/>
      </c>
      <c r="V26">
        <f>HYPERLINK("https://klasma.github.io/Logging_1907/klagomål/A 20391-2024 FSC-klagomål.docx", "A 20391-2024")</f>
        <v/>
      </c>
      <c r="W26">
        <f>HYPERLINK("https://klasma.github.io/Logging_1907/klagomålsmail/A 20391-2024 FSC-klagomål mail.docx", "A 20391-2024")</f>
        <v/>
      </c>
      <c r="X26">
        <f>HYPERLINK("https://klasma.github.io/Logging_1907/tillsyn/A 20391-2024 tillsynsbegäran.docx", "A 20391-2024")</f>
        <v/>
      </c>
      <c r="Y26">
        <f>HYPERLINK("https://klasma.github.io/Logging_1907/tillsynsmail/A 20391-2024 tillsynsbegäran mail.docx", "A 20391-2024")</f>
        <v/>
      </c>
    </row>
    <row r="27" ht="15" customHeight="1">
      <c r="A27" t="inlineStr">
        <is>
          <t>A 42860-2022</t>
        </is>
      </c>
      <c r="B27" s="1" t="n">
        <v>44832</v>
      </c>
      <c r="C27" s="1" t="n">
        <v>45908</v>
      </c>
      <c r="D27" t="inlineStr">
        <is>
          <t>VÄSTMANLANDS LÄN</t>
        </is>
      </c>
      <c r="E27" t="inlineStr">
        <is>
          <t>SURAHAMMAR</t>
        </is>
      </c>
      <c r="G27" t="n">
        <v>0.9</v>
      </c>
      <c r="H27" t="n">
        <v>0</v>
      </c>
      <c r="I27" t="n">
        <v>1</v>
      </c>
      <c r="J27" t="n">
        <v>0</v>
      </c>
      <c r="K27" t="n">
        <v>0</v>
      </c>
      <c r="L27" t="n">
        <v>1</v>
      </c>
      <c r="M27" t="n">
        <v>1</v>
      </c>
      <c r="N27" t="n">
        <v>0</v>
      </c>
      <c r="O27" t="n">
        <v>2</v>
      </c>
      <c r="P27" t="n">
        <v>2</v>
      </c>
      <c r="Q27" t="n">
        <v>3</v>
      </c>
      <c r="R27" s="2" t="inlineStr">
        <is>
          <t>Skogsalm
Ask
Scharlakansvårskål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48128-2023</t>
        </is>
      </c>
      <c r="B28" s="1" t="n">
        <v>45205</v>
      </c>
      <c r="C28" s="1" t="n">
        <v>45908</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42853-2022</t>
        </is>
      </c>
      <c r="B29" s="1" t="n">
        <v>44832</v>
      </c>
      <c r="C29" s="1" t="n">
        <v>45908</v>
      </c>
      <c r="D29" t="inlineStr">
        <is>
          <t>VÄSTMANLANDS LÄN</t>
        </is>
      </c>
      <c r="E29" t="inlineStr">
        <is>
          <t>SURAHAMMAR</t>
        </is>
      </c>
      <c r="G29" t="n">
        <v>7.4</v>
      </c>
      <c r="H29" t="n">
        <v>1</v>
      </c>
      <c r="I29" t="n">
        <v>1</v>
      </c>
      <c r="J29" t="n">
        <v>1</v>
      </c>
      <c r="K29" t="n">
        <v>0</v>
      </c>
      <c r="L29" t="n">
        <v>1</v>
      </c>
      <c r="M29" t="n">
        <v>0</v>
      </c>
      <c r="N29" t="n">
        <v>0</v>
      </c>
      <c r="O29" t="n">
        <v>2</v>
      </c>
      <c r="P29" t="n">
        <v>1</v>
      </c>
      <c r="Q29" t="n">
        <v>3</v>
      </c>
      <c r="R29" s="2" t="inlineStr">
        <is>
          <t>Ask
Kandelabersvamp
Tvåblad</t>
        </is>
      </c>
      <c r="S29">
        <f>HYPERLINK("https://klasma.github.io/Logging_1907/artfynd/A 42853-2022 artfynd.xlsx", "A 42853-2022")</f>
        <v/>
      </c>
      <c r="T29">
        <f>HYPERLINK("https://klasma.github.io/Logging_1907/kartor/A 42853-2022 karta.png", "A 42853-2022")</f>
        <v/>
      </c>
      <c r="V29">
        <f>HYPERLINK("https://klasma.github.io/Logging_1907/klagomål/A 42853-2022 FSC-klagomål.docx", "A 42853-2022")</f>
        <v/>
      </c>
      <c r="W29">
        <f>HYPERLINK("https://klasma.github.io/Logging_1907/klagomålsmail/A 42853-2022 FSC-klagomål mail.docx", "A 42853-2022")</f>
        <v/>
      </c>
      <c r="X29">
        <f>HYPERLINK("https://klasma.github.io/Logging_1907/tillsyn/A 42853-2022 tillsynsbegäran.docx", "A 42853-2022")</f>
        <v/>
      </c>
      <c r="Y29">
        <f>HYPERLINK("https://klasma.github.io/Logging_1907/tillsynsmail/A 42853-2022 tillsynsbegäran mail.docx", "A 42853-2022")</f>
        <v/>
      </c>
    </row>
    <row r="30" ht="15" customHeight="1">
      <c r="A30" t="inlineStr">
        <is>
          <t>A 42708-2022</t>
        </is>
      </c>
      <c r="B30" s="1" t="n">
        <v>44832</v>
      </c>
      <c r="C30" s="1" t="n">
        <v>45908</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38200-2021</t>
        </is>
      </c>
      <c r="B31" s="1" t="n">
        <v>44405</v>
      </c>
      <c r="C31" s="1" t="n">
        <v>45908</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29707-2025</t>
        </is>
      </c>
      <c r="B32" s="1" t="n">
        <v>45825.56100694444</v>
      </c>
      <c r="C32" s="1" t="n">
        <v>45908</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45908</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45908</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37801-2021</t>
        </is>
      </c>
      <c r="B35" s="1" t="n">
        <v>44402</v>
      </c>
      <c r="C35" s="1" t="n">
        <v>45908</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45908</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45908</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37800-2021</t>
        </is>
      </c>
      <c r="B38" s="1" t="n">
        <v>44402</v>
      </c>
      <c r="C38" s="1" t="n">
        <v>45908</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4082-2025</t>
        </is>
      </c>
      <c r="B39" s="1" t="n">
        <v>45684</v>
      </c>
      <c r="C39" s="1" t="n">
        <v>45908</v>
      </c>
      <c r="D39" t="inlineStr">
        <is>
          <t>VÄSTMANLANDS LÄN</t>
        </is>
      </c>
      <c r="E39" t="inlineStr">
        <is>
          <t>SURAHAMMAR</t>
        </is>
      </c>
      <c r="F39" t="inlineStr">
        <is>
          <t>Bergvik skog väst AB</t>
        </is>
      </c>
      <c r="G39" t="n">
        <v>11.6</v>
      </c>
      <c r="H39" t="n">
        <v>1</v>
      </c>
      <c r="I39" t="n">
        <v>2</v>
      </c>
      <c r="J39" t="n">
        <v>0</v>
      </c>
      <c r="K39" t="n">
        <v>0</v>
      </c>
      <c r="L39" t="n">
        <v>0</v>
      </c>
      <c r="M39" t="n">
        <v>0</v>
      </c>
      <c r="N39" t="n">
        <v>0</v>
      </c>
      <c r="O39" t="n">
        <v>0</v>
      </c>
      <c r="P39" t="n">
        <v>0</v>
      </c>
      <c r="Q39" t="n">
        <v>2</v>
      </c>
      <c r="R39" s="2" t="inlineStr">
        <is>
          <t>Grönpyrola
Plattlummer</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41204-2023</t>
        </is>
      </c>
      <c r="B40" s="1" t="n">
        <v>45174</v>
      </c>
      <c r="C40" s="1" t="n">
        <v>45908</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45908</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45908</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45908</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40411-2021</t>
        </is>
      </c>
      <c r="B44" s="1" t="n">
        <v>44419</v>
      </c>
      <c r="C44" s="1" t="n">
        <v>45908</v>
      </c>
      <c r="D44" t="inlineStr">
        <is>
          <t>VÄSTMANLANDS LÄN</t>
        </is>
      </c>
      <c r="E44" t="inlineStr">
        <is>
          <t>SURAHAMMAR</t>
        </is>
      </c>
      <c r="F44" t="inlineStr">
        <is>
          <t>Sveaskog</t>
        </is>
      </c>
      <c r="G44" t="n">
        <v>2.4</v>
      </c>
      <c r="H44" t="n">
        <v>1</v>
      </c>
      <c r="I44" t="n">
        <v>0</v>
      </c>
      <c r="J44" t="n">
        <v>0</v>
      </c>
      <c r="K44" t="n">
        <v>0</v>
      </c>
      <c r="L44" t="n">
        <v>0</v>
      </c>
      <c r="M44" t="n">
        <v>0</v>
      </c>
      <c r="N44" t="n">
        <v>0</v>
      </c>
      <c r="O44" t="n">
        <v>0</v>
      </c>
      <c r="P44" t="n">
        <v>0</v>
      </c>
      <c r="Q44" t="n">
        <v>1</v>
      </c>
      <c r="R44" s="2" t="inlineStr">
        <is>
          <t>Kopparödla</t>
        </is>
      </c>
      <c r="S44">
        <f>HYPERLINK("https://klasma.github.io/Logging_1907/artfynd/A 40411-2021 artfynd.xlsx", "A 40411-2021")</f>
        <v/>
      </c>
      <c r="T44">
        <f>HYPERLINK("https://klasma.github.io/Logging_1907/kartor/A 40411-2021 karta.png", "A 40411-2021")</f>
        <v/>
      </c>
      <c r="V44">
        <f>HYPERLINK("https://klasma.github.io/Logging_1907/klagomål/A 40411-2021 FSC-klagomål.docx", "A 40411-2021")</f>
        <v/>
      </c>
      <c r="W44">
        <f>HYPERLINK("https://klasma.github.io/Logging_1907/klagomålsmail/A 40411-2021 FSC-klagomål mail.docx", "A 40411-2021")</f>
        <v/>
      </c>
      <c r="X44">
        <f>HYPERLINK("https://klasma.github.io/Logging_1907/tillsyn/A 40411-2021 tillsynsbegäran.docx", "A 40411-2021")</f>
        <v/>
      </c>
      <c r="Y44">
        <f>HYPERLINK("https://klasma.github.io/Logging_1907/tillsynsmail/A 40411-2021 tillsynsbegäran mail.docx", "A 40411-2021")</f>
        <v/>
      </c>
    </row>
    <row r="45" ht="15" customHeight="1">
      <c r="A45" t="inlineStr">
        <is>
          <t>A 21716-2025</t>
        </is>
      </c>
      <c r="B45" s="1" t="n">
        <v>45783.54804398148</v>
      </c>
      <c r="C45" s="1" t="n">
        <v>45908</v>
      </c>
      <c r="D45" t="inlineStr">
        <is>
          <t>VÄSTMANLANDS LÄN</t>
        </is>
      </c>
      <c r="E45" t="inlineStr">
        <is>
          <t>SURAHAMMAR</t>
        </is>
      </c>
      <c r="F45" t="inlineStr">
        <is>
          <t>Allmännings- och besparingsskogar</t>
        </is>
      </c>
      <c r="G45" t="n">
        <v>21.1</v>
      </c>
      <c r="H45" t="n">
        <v>1</v>
      </c>
      <c r="I45" t="n">
        <v>0</v>
      </c>
      <c r="J45" t="n">
        <v>1</v>
      </c>
      <c r="K45" t="n">
        <v>0</v>
      </c>
      <c r="L45" t="n">
        <v>0</v>
      </c>
      <c r="M45" t="n">
        <v>0</v>
      </c>
      <c r="N45" t="n">
        <v>0</v>
      </c>
      <c r="O45" t="n">
        <v>1</v>
      </c>
      <c r="P45" t="n">
        <v>0</v>
      </c>
      <c r="Q45" t="n">
        <v>1</v>
      </c>
      <c r="R45" s="2" t="inlineStr">
        <is>
          <t>Spillkråka</t>
        </is>
      </c>
      <c r="S45">
        <f>HYPERLINK("https://klasma.github.io/Logging_1907/artfynd/A 21716-2025 artfynd.xlsx", "A 21716-2025")</f>
        <v/>
      </c>
      <c r="T45">
        <f>HYPERLINK("https://klasma.github.io/Logging_1907/kartor/A 21716-2025 karta.png", "A 21716-2025")</f>
        <v/>
      </c>
      <c r="V45">
        <f>HYPERLINK("https://klasma.github.io/Logging_1907/klagomål/A 21716-2025 FSC-klagomål.docx", "A 21716-2025")</f>
        <v/>
      </c>
      <c r="W45">
        <f>HYPERLINK("https://klasma.github.io/Logging_1907/klagomålsmail/A 21716-2025 FSC-klagomål mail.docx", "A 21716-2025")</f>
        <v/>
      </c>
      <c r="X45">
        <f>HYPERLINK("https://klasma.github.io/Logging_1907/tillsyn/A 21716-2025 tillsynsbegäran.docx", "A 21716-2025")</f>
        <v/>
      </c>
      <c r="Y45">
        <f>HYPERLINK("https://klasma.github.io/Logging_1907/tillsynsmail/A 21716-2025 tillsynsbegäran mail.docx", "A 21716-2025")</f>
        <v/>
      </c>
      <c r="Z45">
        <f>HYPERLINK("https://klasma.github.io/Logging_1907/fåglar/A 21716-2025 prioriterade fågelarter.docx", "A 21716-2025")</f>
        <v/>
      </c>
    </row>
    <row r="46" ht="15" customHeight="1">
      <c r="A46" t="inlineStr">
        <is>
          <t>A 44356-2024</t>
        </is>
      </c>
      <c r="B46" s="1" t="n">
        <v>45573</v>
      </c>
      <c r="C46" s="1" t="n">
        <v>45908</v>
      </c>
      <c r="D46" t="inlineStr">
        <is>
          <t>VÄSTMANLANDS LÄN</t>
        </is>
      </c>
      <c r="E46" t="inlineStr">
        <is>
          <t>SURAHAMMAR</t>
        </is>
      </c>
      <c r="F46" t="inlineStr">
        <is>
          <t>Sveaskog</t>
        </is>
      </c>
      <c r="G46" t="n">
        <v>0.7</v>
      </c>
      <c r="H46" t="n">
        <v>1</v>
      </c>
      <c r="I46" t="n">
        <v>0</v>
      </c>
      <c r="J46" t="n">
        <v>0</v>
      </c>
      <c r="K46" t="n">
        <v>0</v>
      </c>
      <c r="L46" t="n">
        <v>0</v>
      </c>
      <c r="M46" t="n">
        <v>0</v>
      </c>
      <c r="N46" t="n">
        <v>0</v>
      </c>
      <c r="O46" t="n">
        <v>0</v>
      </c>
      <c r="P46" t="n">
        <v>0</v>
      </c>
      <c r="Q46" t="n">
        <v>1</v>
      </c>
      <c r="R46" s="2" t="inlineStr">
        <is>
          <t>Revlummer</t>
        </is>
      </c>
      <c r="S46">
        <f>HYPERLINK("https://klasma.github.io/Logging_1907/artfynd/A 44356-2024 artfynd.xlsx", "A 44356-2024")</f>
        <v/>
      </c>
      <c r="T46">
        <f>HYPERLINK("https://klasma.github.io/Logging_1907/kartor/A 44356-2024 karta.png", "A 44356-2024")</f>
        <v/>
      </c>
      <c r="V46">
        <f>HYPERLINK("https://klasma.github.io/Logging_1907/klagomål/A 44356-2024 FSC-klagomål.docx", "A 44356-2024")</f>
        <v/>
      </c>
      <c r="W46">
        <f>HYPERLINK("https://klasma.github.io/Logging_1907/klagomålsmail/A 44356-2024 FSC-klagomål mail.docx", "A 44356-2024")</f>
        <v/>
      </c>
      <c r="X46">
        <f>HYPERLINK("https://klasma.github.io/Logging_1907/tillsyn/A 44356-2024 tillsynsbegäran.docx", "A 44356-2024")</f>
        <v/>
      </c>
      <c r="Y46">
        <f>HYPERLINK("https://klasma.github.io/Logging_1907/tillsynsmail/A 44356-2024 tillsynsbegäran mail.docx", "A 44356-2024")</f>
        <v/>
      </c>
    </row>
    <row r="47" ht="15" customHeight="1">
      <c r="A47" t="inlineStr">
        <is>
          <t>A 30074-2023</t>
        </is>
      </c>
      <c r="B47" s="1" t="n">
        <v>45110</v>
      </c>
      <c r="C47" s="1" t="n">
        <v>45908</v>
      </c>
      <c r="D47" t="inlineStr">
        <is>
          <t>VÄSTMANLANDS LÄN</t>
        </is>
      </c>
      <c r="E47" t="inlineStr">
        <is>
          <t>SURAHAMMAR</t>
        </is>
      </c>
      <c r="F47" t="inlineStr">
        <is>
          <t>Sveaskog</t>
        </is>
      </c>
      <c r="G47" t="n">
        <v>1.1</v>
      </c>
      <c r="H47" t="n">
        <v>1</v>
      </c>
      <c r="I47" t="n">
        <v>0</v>
      </c>
      <c r="J47" t="n">
        <v>0</v>
      </c>
      <c r="K47" t="n">
        <v>0</v>
      </c>
      <c r="L47" t="n">
        <v>0</v>
      </c>
      <c r="M47" t="n">
        <v>0</v>
      </c>
      <c r="N47" t="n">
        <v>0</v>
      </c>
      <c r="O47" t="n">
        <v>0</v>
      </c>
      <c r="P47" t="n">
        <v>0</v>
      </c>
      <c r="Q47" t="n">
        <v>1</v>
      </c>
      <c r="R47" s="2" t="inlineStr">
        <is>
          <t>Revlummer</t>
        </is>
      </c>
      <c r="S47">
        <f>HYPERLINK("https://klasma.github.io/Logging_1907/artfynd/A 30074-2023 artfynd.xlsx", "A 30074-2023")</f>
        <v/>
      </c>
      <c r="T47">
        <f>HYPERLINK("https://klasma.github.io/Logging_1907/kartor/A 30074-2023 karta.png", "A 30074-2023")</f>
        <v/>
      </c>
      <c r="V47">
        <f>HYPERLINK("https://klasma.github.io/Logging_1907/klagomål/A 30074-2023 FSC-klagomål.docx", "A 30074-2023")</f>
        <v/>
      </c>
      <c r="W47">
        <f>HYPERLINK("https://klasma.github.io/Logging_1907/klagomålsmail/A 30074-2023 FSC-klagomål mail.docx", "A 30074-2023")</f>
        <v/>
      </c>
      <c r="X47">
        <f>HYPERLINK("https://klasma.github.io/Logging_1907/tillsyn/A 30074-2023 tillsynsbegäran.docx", "A 30074-2023")</f>
        <v/>
      </c>
      <c r="Y47">
        <f>HYPERLINK("https://klasma.github.io/Logging_1907/tillsynsmail/A 30074-2023 tillsynsbegäran mail.docx", "A 30074-2023")</f>
        <v/>
      </c>
    </row>
    <row r="48" ht="15" customHeight="1">
      <c r="A48" t="inlineStr">
        <is>
          <t>A 22840-2023</t>
        </is>
      </c>
      <c r="B48" s="1" t="n">
        <v>45072</v>
      </c>
      <c r="C48" s="1" t="n">
        <v>45908</v>
      </c>
      <c r="D48" t="inlineStr">
        <is>
          <t>VÄSTMANLANDS LÄN</t>
        </is>
      </c>
      <c r="E48" t="inlineStr">
        <is>
          <t>SURAHAMMAR</t>
        </is>
      </c>
      <c r="G48" t="n">
        <v>4.3</v>
      </c>
      <c r="H48" t="n">
        <v>1</v>
      </c>
      <c r="I48" t="n">
        <v>0</v>
      </c>
      <c r="J48" t="n">
        <v>0</v>
      </c>
      <c r="K48" t="n">
        <v>0</v>
      </c>
      <c r="L48" t="n">
        <v>0</v>
      </c>
      <c r="M48" t="n">
        <v>0</v>
      </c>
      <c r="N48" t="n">
        <v>0</v>
      </c>
      <c r="O48" t="n">
        <v>0</v>
      </c>
      <c r="P48" t="n">
        <v>0</v>
      </c>
      <c r="Q48" t="n">
        <v>1</v>
      </c>
      <c r="R48" s="2" t="inlineStr">
        <is>
          <t>Fläcknycklar</t>
        </is>
      </c>
      <c r="S48">
        <f>HYPERLINK("https://klasma.github.io/Logging_1907/artfynd/A 22840-2023 artfynd.xlsx", "A 22840-2023")</f>
        <v/>
      </c>
      <c r="T48">
        <f>HYPERLINK("https://klasma.github.io/Logging_1907/kartor/A 22840-2023 karta.png", "A 22840-2023")</f>
        <v/>
      </c>
      <c r="V48">
        <f>HYPERLINK("https://klasma.github.io/Logging_1907/klagomål/A 22840-2023 FSC-klagomål.docx", "A 22840-2023")</f>
        <v/>
      </c>
      <c r="W48">
        <f>HYPERLINK("https://klasma.github.io/Logging_1907/klagomålsmail/A 22840-2023 FSC-klagomål mail.docx", "A 22840-2023")</f>
        <v/>
      </c>
      <c r="X48">
        <f>HYPERLINK("https://klasma.github.io/Logging_1907/tillsyn/A 22840-2023 tillsynsbegäran.docx", "A 22840-2023")</f>
        <v/>
      </c>
      <c r="Y48">
        <f>HYPERLINK("https://klasma.github.io/Logging_1907/tillsynsmail/A 22840-2023 tillsynsbegäran mail.docx", "A 22840-2023")</f>
        <v/>
      </c>
    </row>
    <row r="49" ht="15" customHeight="1">
      <c r="A49" t="inlineStr">
        <is>
          <t>A 33231-2024</t>
        </is>
      </c>
      <c r="B49" s="1" t="n">
        <v>45518</v>
      </c>
      <c r="C49" s="1" t="n">
        <v>45908</v>
      </c>
      <c r="D49" t="inlineStr">
        <is>
          <t>VÄSTMANLANDS LÄN</t>
        </is>
      </c>
      <c r="E49" t="inlineStr">
        <is>
          <t>SURAHAMMAR</t>
        </is>
      </c>
      <c r="F49" t="inlineStr">
        <is>
          <t>Bergvik skog väst AB</t>
        </is>
      </c>
      <c r="G49" t="n">
        <v>1.5</v>
      </c>
      <c r="H49" t="n">
        <v>1</v>
      </c>
      <c r="I49" t="n">
        <v>0</v>
      </c>
      <c r="J49" t="n">
        <v>0</v>
      </c>
      <c r="K49" t="n">
        <v>0</v>
      </c>
      <c r="L49" t="n">
        <v>0</v>
      </c>
      <c r="M49" t="n">
        <v>0</v>
      </c>
      <c r="N49" t="n">
        <v>0</v>
      </c>
      <c r="O49" t="n">
        <v>0</v>
      </c>
      <c r="P49" t="n">
        <v>0</v>
      </c>
      <c r="Q49" t="n">
        <v>1</v>
      </c>
      <c r="R49" s="2" t="inlineStr">
        <is>
          <t>Mindre vattensalamander</t>
        </is>
      </c>
      <c r="S49">
        <f>HYPERLINK("https://klasma.github.io/Logging_1907/artfynd/A 33231-2024 artfynd.xlsx", "A 33231-2024")</f>
        <v/>
      </c>
      <c r="T49">
        <f>HYPERLINK("https://klasma.github.io/Logging_1907/kartor/A 33231-2024 karta.png", "A 33231-2024")</f>
        <v/>
      </c>
      <c r="V49">
        <f>HYPERLINK("https://klasma.github.io/Logging_1907/klagomål/A 33231-2024 FSC-klagomål.docx", "A 33231-2024")</f>
        <v/>
      </c>
      <c r="W49">
        <f>HYPERLINK("https://klasma.github.io/Logging_1907/klagomålsmail/A 33231-2024 FSC-klagomål mail.docx", "A 33231-2024")</f>
        <v/>
      </c>
      <c r="X49">
        <f>HYPERLINK("https://klasma.github.io/Logging_1907/tillsyn/A 33231-2024 tillsynsbegäran.docx", "A 33231-2024")</f>
        <v/>
      </c>
      <c r="Y49">
        <f>HYPERLINK("https://klasma.github.io/Logging_1907/tillsynsmail/A 33231-2024 tillsynsbegäran mail.docx", "A 33231-2024")</f>
        <v/>
      </c>
    </row>
    <row r="50" ht="15" customHeight="1">
      <c r="A50" t="inlineStr">
        <is>
          <t>A 56362-2023</t>
        </is>
      </c>
      <c r="B50" s="1" t="n">
        <v>45236</v>
      </c>
      <c r="C50" s="1" t="n">
        <v>45908</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13788-2025</t>
        </is>
      </c>
      <c r="B51" s="1" t="n">
        <v>45737.45327546296</v>
      </c>
      <c r="C51" s="1" t="n">
        <v>45908</v>
      </c>
      <c r="D51" t="inlineStr">
        <is>
          <t>VÄSTMANLANDS LÄN</t>
        </is>
      </c>
      <c r="E51" t="inlineStr">
        <is>
          <t>SURAHAMMAR</t>
        </is>
      </c>
      <c r="G51" t="n">
        <v>9.699999999999999</v>
      </c>
      <c r="H51" t="n">
        <v>1</v>
      </c>
      <c r="I51" t="n">
        <v>0</v>
      </c>
      <c r="J51" t="n">
        <v>0</v>
      </c>
      <c r="K51" t="n">
        <v>0</v>
      </c>
      <c r="L51" t="n">
        <v>0</v>
      </c>
      <c r="M51" t="n">
        <v>0</v>
      </c>
      <c r="N51" t="n">
        <v>0</v>
      </c>
      <c r="O51" t="n">
        <v>0</v>
      </c>
      <c r="P51" t="n">
        <v>0</v>
      </c>
      <c r="Q51" t="n">
        <v>1</v>
      </c>
      <c r="R51" s="2" t="inlineStr">
        <is>
          <t>Sparvuggla</t>
        </is>
      </c>
      <c r="S51">
        <f>HYPERLINK("https://klasma.github.io/Logging_1907/artfynd/A 13788-2025 artfynd.xlsx", "A 13788-2025")</f>
        <v/>
      </c>
      <c r="T51">
        <f>HYPERLINK("https://klasma.github.io/Logging_1907/kartor/A 13788-2025 karta.png", "A 13788-2025")</f>
        <v/>
      </c>
      <c r="V51">
        <f>HYPERLINK("https://klasma.github.io/Logging_1907/klagomål/A 13788-2025 FSC-klagomål.docx", "A 13788-2025")</f>
        <v/>
      </c>
      <c r="W51">
        <f>HYPERLINK("https://klasma.github.io/Logging_1907/klagomålsmail/A 13788-2025 FSC-klagomål mail.docx", "A 13788-2025")</f>
        <v/>
      </c>
      <c r="X51">
        <f>HYPERLINK("https://klasma.github.io/Logging_1907/tillsyn/A 13788-2025 tillsynsbegäran.docx", "A 13788-2025")</f>
        <v/>
      </c>
      <c r="Y51">
        <f>HYPERLINK("https://klasma.github.io/Logging_1907/tillsynsmail/A 13788-2025 tillsynsbegäran mail.docx", "A 13788-2025")</f>
        <v/>
      </c>
      <c r="Z51">
        <f>HYPERLINK("https://klasma.github.io/Logging_1907/fåglar/A 13788-2025 prioriterade fågelarter.docx", "A 13788-2025")</f>
        <v/>
      </c>
    </row>
    <row r="52" ht="15" customHeight="1">
      <c r="A52" t="inlineStr">
        <is>
          <t>A 47453-2024</t>
        </is>
      </c>
      <c r="B52" s="1" t="n">
        <v>45587.55017361111</v>
      </c>
      <c r="C52" s="1" t="n">
        <v>45908</v>
      </c>
      <c r="D52" t="inlineStr">
        <is>
          <t>VÄSTMANLANDS LÄN</t>
        </is>
      </c>
      <c r="E52" t="inlineStr">
        <is>
          <t>SURAHAMMAR</t>
        </is>
      </c>
      <c r="G52" t="n">
        <v>5.1</v>
      </c>
      <c r="H52" t="n">
        <v>1</v>
      </c>
      <c r="I52" t="n">
        <v>0</v>
      </c>
      <c r="J52" t="n">
        <v>0</v>
      </c>
      <c r="K52" t="n">
        <v>0</v>
      </c>
      <c r="L52" t="n">
        <v>0</v>
      </c>
      <c r="M52" t="n">
        <v>0</v>
      </c>
      <c r="N52" t="n">
        <v>0</v>
      </c>
      <c r="O52" t="n">
        <v>0</v>
      </c>
      <c r="P52" t="n">
        <v>0</v>
      </c>
      <c r="Q52" t="n">
        <v>1</v>
      </c>
      <c r="R52" s="2" t="inlineStr">
        <is>
          <t>Göktyta</t>
        </is>
      </c>
      <c r="S52">
        <f>HYPERLINK("https://klasma.github.io/Logging_1907/artfynd/A 47453-2024 artfynd.xlsx", "A 47453-2024")</f>
        <v/>
      </c>
      <c r="T52">
        <f>HYPERLINK("https://klasma.github.io/Logging_1907/kartor/A 47453-2024 karta.png", "A 47453-2024")</f>
        <v/>
      </c>
      <c r="V52">
        <f>HYPERLINK("https://klasma.github.io/Logging_1907/klagomål/A 47453-2024 FSC-klagomål.docx", "A 47453-2024")</f>
        <v/>
      </c>
      <c r="W52">
        <f>HYPERLINK("https://klasma.github.io/Logging_1907/klagomålsmail/A 47453-2024 FSC-klagomål mail.docx", "A 47453-2024")</f>
        <v/>
      </c>
      <c r="X52">
        <f>HYPERLINK("https://klasma.github.io/Logging_1907/tillsyn/A 47453-2024 tillsynsbegäran.docx", "A 47453-2024")</f>
        <v/>
      </c>
      <c r="Y52">
        <f>HYPERLINK("https://klasma.github.io/Logging_1907/tillsynsmail/A 47453-2024 tillsynsbegäran mail.docx", "A 47453-2024")</f>
        <v/>
      </c>
      <c r="Z52">
        <f>HYPERLINK("https://klasma.github.io/Logging_1907/fåglar/A 47453-2024 prioriterade fågelarter.docx", "A 47453-2024")</f>
        <v/>
      </c>
    </row>
    <row r="53" ht="15" customHeight="1">
      <c r="A53" t="inlineStr">
        <is>
          <t>A 25583-2024</t>
        </is>
      </c>
      <c r="B53" s="1" t="n">
        <v>45463</v>
      </c>
      <c r="C53" s="1" t="n">
        <v>45908</v>
      </c>
      <c r="D53" t="inlineStr">
        <is>
          <t>VÄSTMANLANDS LÄN</t>
        </is>
      </c>
      <c r="E53" t="inlineStr">
        <is>
          <t>SURAHAMMAR</t>
        </is>
      </c>
      <c r="F53" t="inlineStr">
        <is>
          <t>Bergvik skog väst AB</t>
        </is>
      </c>
      <c r="G53" t="n">
        <v>7.8</v>
      </c>
      <c r="H53" t="n">
        <v>1</v>
      </c>
      <c r="I53" t="n">
        <v>0</v>
      </c>
      <c r="J53" t="n">
        <v>0</v>
      </c>
      <c r="K53" t="n">
        <v>0</v>
      </c>
      <c r="L53" t="n">
        <v>0</v>
      </c>
      <c r="M53" t="n">
        <v>0</v>
      </c>
      <c r="N53" t="n">
        <v>0</v>
      </c>
      <c r="O53" t="n">
        <v>0</v>
      </c>
      <c r="P53" t="n">
        <v>0</v>
      </c>
      <c r="Q53" t="n">
        <v>1</v>
      </c>
      <c r="R53" s="2" t="inlineStr">
        <is>
          <t>Blåsippa</t>
        </is>
      </c>
      <c r="S53">
        <f>HYPERLINK("https://klasma.github.io/Logging_1907/artfynd/A 25583-2024 artfynd.xlsx", "A 25583-2024")</f>
        <v/>
      </c>
      <c r="T53">
        <f>HYPERLINK("https://klasma.github.io/Logging_1907/kartor/A 25583-2024 karta.png", "A 25583-2024")</f>
        <v/>
      </c>
      <c r="V53">
        <f>HYPERLINK("https://klasma.github.io/Logging_1907/klagomål/A 25583-2024 FSC-klagomål.docx", "A 25583-2024")</f>
        <v/>
      </c>
      <c r="W53">
        <f>HYPERLINK("https://klasma.github.io/Logging_1907/klagomålsmail/A 25583-2024 FSC-klagomål mail.docx", "A 25583-2024")</f>
        <v/>
      </c>
      <c r="X53">
        <f>HYPERLINK("https://klasma.github.io/Logging_1907/tillsyn/A 25583-2024 tillsynsbegäran.docx", "A 25583-2024")</f>
        <v/>
      </c>
      <c r="Y53">
        <f>HYPERLINK("https://klasma.github.io/Logging_1907/tillsynsmail/A 25583-2024 tillsynsbegäran mail.docx", "A 25583-2024")</f>
        <v/>
      </c>
    </row>
    <row r="54" ht="15" customHeight="1">
      <c r="A54" t="inlineStr">
        <is>
          <t>A 62097-2024</t>
        </is>
      </c>
      <c r="B54" s="1" t="n">
        <v>45646</v>
      </c>
      <c r="C54" s="1" t="n">
        <v>45908</v>
      </c>
      <c r="D54" t="inlineStr">
        <is>
          <t>VÄSTMANLANDS LÄN</t>
        </is>
      </c>
      <c r="E54" t="inlineStr">
        <is>
          <t>SURAHAMMAR</t>
        </is>
      </c>
      <c r="F54" t="inlineStr">
        <is>
          <t>Bergvik skog väst AB</t>
        </is>
      </c>
      <c r="G54" t="n">
        <v>21.7</v>
      </c>
      <c r="H54" t="n">
        <v>1</v>
      </c>
      <c r="I54" t="n">
        <v>0</v>
      </c>
      <c r="J54" t="n">
        <v>0</v>
      </c>
      <c r="K54" t="n">
        <v>0</v>
      </c>
      <c r="L54" t="n">
        <v>0</v>
      </c>
      <c r="M54" t="n">
        <v>0</v>
      </c>
      <c r="N54" t="n">
        <v>0</v>
      </c>
      <c r="O54" t="n">
        <v>0</v>
      </c>
      <c r="P54" t="n">
        <v>0</v>
      </c>
      <c r="Q54" t="n">
        <v>1</v>
      </c>
      <c r="R54" s="2" t="inlineStr">
        <is>
          <t>Revlummer</t>
        </is>
      </c>
      <c r="S54">
        <f>HYPERLINK("https://klasma.github.io/Logging_1907/artfynd/A 62097-2024 artfynd.xlsx", "A 62097-2024")</f>
        <v/>
      </c>
      <c r="T54">
        <f>HYPERLINK("https://klasma.github.io/Logging_1907/kartor/A 62097-2024 karta.png", "A 62097-2024")</f>
        <v/>
      </c>
      <c r="V54">
        <f>HYPERLINK("https://klasma.github.io/Logging_1907/klagomål/A 62097-2024 FSC-klagomål.docx", "A 62097-2024")</f>
        <v/>
      </c>
      <c r="W54">
        <f>HYPERLINK("https://klasma.github.io/Logging_1907/klagomålsmail/A 62097-2024 FSC-klagomål mail.docx", "A 62097-2024")</f>
        <v/>
      </c>
      <c r="X54">
        <f>HYPERLINK("https://klasma.github.io/Logging_1907/tillsyn/A 62097-2024 tillsynsbegäran.docx", "A 62097-2024")</f>
        <v/>
      </c>
      <c r="Y54">
        <f>HYPERLINK("https://klasma.github.io/Logging_1907/tillsynsmail/A 62097-2024 tillsynsbegäran mail.docx", "A 62097-2024")</f>
        <v/>
      </c>
    </row>
    <row r="55" ht="15" customHeight="1">
      <c r="A55" t="inlineStr">
        <is>
          <t>A 40403-2025</t>
        </is>
      </c>
      <c r="B55" s="1" t="n">
        <v>45895</v>
      </c>
      <c r="C55" s="1" t="n">
        <v>45908</v>
      </c>
      <c r="D55" t="inlineStr">
        <is>
          <t>VÄSTMANLANDS LÄN</t>
        </is>
      </c>
      <c r="E55" t="inlineStr">
        <is>
          <t>SURAHAMMAR</t>
        </is>
      </c>
      <c r="F55" t="inlineStr">
        <is>
          <t>Kommuner</t>
        </is>
      </c>
      <c r="G55" t="n">
        <v>3.9</v>
      </c>
      <c r="H55" t="n">
        <v>0</v>
      </c>
      <c r="I55" t="n">
        <v>0</v>
      </c>
      <c r="J55" t="n">
        <v>1</v>
      </c>
      <c r="K55" t="n">
        <v>0</v>
      </c>
      <c r="L55" t="n">
        <v>0</v>
      </c>
      <c r="M55" t="n">
        <v>0</v>
      </c>
      <c r="N55" t="n">
        <v>0</v>
      </c>
      <c r="O55" t="n">
        <v>1</v>
      </c>
      <c r="P55" t="n">
        <v>0</v>
      </c>
      <c r="Q55" t="n">
        <v>1</v>
      </c>
      <c r="R55" s="2" t="inlineStr">
        <is>
          <t>Igelkott</t>
        </is>
      </c>
      <c r="S55">
        <f>HYPERLINK("https://klasma.github.io/Logging_1907/artfynd/A 40403-2025 artfynd.xlsx", "A 40403-2025")</f>
        <v/>
      </c>
      <c r="T55">
        <f>HYPERLINK("https://klasma.github.io/Logging_1907/kartor/A 40403-2025 karta.png", "A 40403-2025")</f>
        <v/>
      </c>
      <c r="V55">
        <f>HYPERLINK("https://klasma.github.io/Logging_1907/klagomål/A 40403-2025 FSC-klagomål.docx", "A 40403-2025")</f>
        <v/>
      </c>
      <c r="W55">
        <f>HYPERLINK("https://klasma.github.io/Logging_1907/klagomålsmail/A 40403-2025 FSC-klagomål mail.docx", "A 40403-2025")</f>
        <v/>
      </c>
      <c r="X55">
        <f>HYPERLINK("https://klasma.github.io/Logging_1907/tillsyn/A 40403-2025 tillsynsbegäran.docx", "A 40403-2025")</f>
        <v/>
      </c>
      <c r="Y55">
        <f>HYPERLINK("https://klasma.github.io/Logging_1907/tillsynsmail/A 40403-2025 tillsynsbegäran mail.docx", "A 40403-2025")</f>
        <v/>
      </c>
    </row>
    <row r="56" ht="15" customHeight="1">
      <c r="A56" t="inlineStr">
        <is>
          <t>A 42089-2025</t>
        </is>
      </c>
      <c r="B56" s="1" t="n">
        <v>45902</v>
      </c>
      <c r="C56" s="1" t="n">
        <v>45908</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14001-2023</t>
        </is>
      </c>
      <c r="B57" s="1" t="n">
        <v>45007</v>
      </c>
      <c r="C57" s="1" t="n">
        <v>45908</v>
      </c>
      <c r="D57" t="inlineStr">
        <is>
          <t>VÄSTMANLANDS LÄN</t>
        </is>
      </c>
      <c r="E57" t="inlineStr">
        <is>
          <t>SURAHAMMAR</t>
        </is>
      </c>
      <c r="F57" t="inlineStr">
        <is>
          <t>Bergvik skog väst AB</t>
        </is>
      </c>
      <c r="G57" t="n">
        <v>1</v>
      </c>
      <c r="H57" t="n">
        <v>0</v>
      </c>
      <c r="I57" t="n">
        <v>0</v>
      </c>
      <c r="J57" t="n">
        <v>1</v>
      </c>
      <c r="K57" t="n">
        <v>0</v>
      </c>
      <c r="L57" t="n">
        <v>0</v>
      </c>
      <c r="M57" t="n">
        <v>0</v>
      </c>
      <c r="N57" t="n">
        <v>0</v>
      </c>
      <c r="O57" t="n">
        <v>1</v>
      </c>
      <c r="P57" t="n">
        <v>0</v>
      </c>
      <c r="Q57" t="n">
        <v>1</v>
      </c>
      <c r="R57" s="2" t="inlineStr">
        <is>
          <t>Motaggsvamp</t>
        </is>
      </c>
      <c r="S57">
        <f>HYPERLINK("https://klasma.github.io/Logging_1907/artfynd/A 14001-2023 artfynd.xlsx", "A 14001-2023")</f>
        <v/>
      </c>
      <c r="T57">
        <f>HYPERLINK("https://klasma.github.io/Logging_1907/kartor/A 14001-2023 karta.png", "A 14001-2023")</f>
        <v/>
      </c>
      <c r="V57">
        <f>HYPERLINK("https://klasma.github.io/Logging_1907/klagomål/A 14001-2023 FSC-klagomål.docx", "A 14001-2023")</f>
        <v/>
      </c>
      <c r="W57">
        <f>HYPERLINK("https://klasma.github.io/Logging_1907/klagomålsmail/A 14001-2023 FSC-klagomål mail.docx", "A 14001-2023")</f>
        <v/>
      </c>
      <c r="X57">
        <f>HYPERLINK("https://klasma.github.io/Logging_1907/tillsyn/A 14001-2023 tillsynsbegäran.docx", "A 14001-2023")</f>
        <v/>
      </c>
      <c r="Y57">
        <f>HYPERLINK("https://klasma.github.io/Logging_1907/tillsynsmail/A 14001-2023 tillsynsbegäran mail.docx", "A 14001-2023")</f>
        <v/>
      </c>
    </row>
    <row r="58" ht="15" customHeight="1">
      <c r="A58" t="inlineStr">
        <is>
          <t>A 39099-2022</t>
        </is>
      </c>
      <c r="B58" s="1" t="n">
        <v>44817</v>
      </c>
      <c r="C58" s="1" t="n">
        <v>45908</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42765-2022</t>
        </is>
      </c>
      <c r="B59" s="1" t="n">
        <v>44832</v>
      </c>
      <c r="C59" s="1" t="n">
        <v>45908</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45908</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13971-2023</t>
        </is>
      </c>
      <c r="B61" s="1" t="n">
        <v>45007</v>
      </c>
      <c r="C61" s="1" t="n">
        <v>45908</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69777-2021</t>
        </is>
      </c>
      <c r="B62" s="1" t="n">
        <v>44532</v>
      </c>
      <c r="C62" s="1" t="n">
        <v>45908</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31176-2024</t>
        </is>
      </c>
      <c r="B63" s="1" t="n">
        <v>45503</v>
      </c>
      <c r="C63" s="1" t="n">
        <v>45908</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17632-2022</t>
        </is>
      </c>
      <c r="B64" s="1" t="n">
        <v>44680</v>
      </c>
      <c r="C64" s="1" t="n">
        <v>45908</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43451-2024</t>
        </is>
      </c>
      <c r="B65" s="1" t="n">
        <v>45568</v>
      </c>
      <c r="C65" s="1" t="n">
        <v>45908</v>
      </c>
      <c r="D65" t="inlineStr">
        <is>
          <t>VÄSTMANLANDS LÄN</t>
        </is>
      </c>
      <c r="E65" t="inlineStr">
        <is>
          <t>SURAHAMMAR</t>
        </is>
      </c>
      <c r="F65" t="inlineStr">
        <is>
          <t>Bergvik skog väst AB</t>
        </is>
      </c>
      <c r="G65" t="n">
        <v>2.9</v>
      </c>
      <c r="H65" t="n">
        <v>0</v>
      </c>
      <c r="I65" t="n">
        <v>0</v>
      </c>
      <c r="J65" t="n">
        <v>1</v>
      </c>
      <c r="K65" t="n">
        <v>0</v>
      </c>
      <c r="L65" t="n">
        <v>0</v>
      </c>
      <c r="M65" t="n">
        <v>0</v>
      </c>
      <c r="N65" t="n">
        <v>0</v>
      </c>
      <c r="O65" t="n">
        <v>1</v>
      </c>
      <c r="P65" t="n">
        <v>0</v>
      </c>
      <c r="Q65" t="n">
        <v>1</v>
      </c>
      <c r="R65" s="2" t="inlineStr">
        <is>
          <t>Ullticka</t>
        </is>
      </c>
      <c r="S65">
        <f>HYPERLINK("https://klasma.github.io/Logging_1907/artfynd/A 43451-2024 artfynd.xlsx", "A 43451-2024")</f>
        <v/>
      </c>
      <c r="T65">
        <f>HYPERLINK("https://klasma.github.io/Logging_1907/kartor/A 43451-2024 karta.png", "A 43451-2024")</f>
        <v/>
      </c>
      <c r="V65">
        <f>HYPERLINK("https://klasma.github.io/Logging_1907/klagomål/A 43451-2024 FSC-klagomål.docx", "A 43451-2024")</f>
        <v/>
      </c>
      <c r="W65">
        <f>HYPERLINK("https://klasma.github.io/Logging_1907/klagomålsmail/A 43451-2024 FSC-klagomål mail.docx", "A 43451-2024")</f>
        <v/>
      </c>
      <c r="X65">
        <f>HYPERLINK("https://klasma.github.io/Logging_1907/tillsyn/A 43451-2024 tillsynsbegäran.docx", "A 43451-2024")</f>
        <v/>
      </c>
      <c r="Y65">
        <f>HYPERLINK("https://klasma.github.io/Logging_1907/tillsynsmail/A 43451-2024 tillsynsbegäran mail.docx", "A 43451-2024")</f>
        <v/>
      </c>
    </row>
    <row r="66" ht="15" customHeight="1">
      <c r="A66" t="inlineStr">
        <is>
          <t>A 43177-2020</t>
        </is>
      </c>
      <c r="B66" s="1" t="n">
        <v>44081</v>
      </c>
      <c r="C66" s="1" t="n">
        <v>45908</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45908</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45908</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45908</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45908</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45908</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47997-2020</t>
        </is>
      </c>
      <c r="B72" s="1" t="n">
        <v>44099</v>
      </c>
      <c r="C72" s="1" t="n">
        <v>45908</v>
      </c>
      <c r="D72" t="inlineStr">
        <is>
          <t>VÄSTMANLANDS LÄN</t>
        </is>
      </c>
      <c r="E72" t="inlineStr">
        <is>
          <t>SURAHAMMAR</t>
        </is>
      </c>
      <c r="G72" t="n">
        <v>4.8</v>
      </c>
      <c r="H72" t="n">
        <v>0</v>
      </c>
      <c r="I72" t="n">
        <v>0</v>
      </c>
      <c r="J72" t="n">
        <v>0</v>
      </c>
      <c r="K72" t="n">
        <v>0</v>
      </c>
      <c r="L72" t="n">
        <v>0</v>
      </c>
      <c r="M72" t="n">
        <v>0</v>
      </c>
      <c r="N72" t="n">
        <v>0</v>
      </c>
      <c r="O72" t="n">
        <v>0</v>
      </c>
      <c r="P72" t="n">
        <v>0</v>
      </c>
      <c r="Q72" t="n">
        <v>0</v>
      </c>
      <c r="R72" s="2" t="inlineStr"/>
    </row>
    <row r="73" ht="15" customHeight="1">
      <c r="A73" t="inlineStr">
        <is>
          <t>A 32491-2022</t>
        </is>
      </c>
      <c r="B73" s="1" t="n">
        <v>44782</v>
      </c>
      <c r="C73" s="1" t="n">
        <v>45908</v>
      </c>
      <c r="D73" t="inlineStr">
        <is>
          <t>VÄSTMANLANDS LÄN</t>
        </is>
      </c>
      <c r="E73" t="inlineStr">
        <is>
          <t>SURAHAMMAR</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59727-2020</t>
        </is>
      </c>
      <c r="B74" s="1" t="n">
        <v>44151</v>
      </c>
      <c r="C74" s="1" t="n">
        <v>45908</v>
      </c>
      <c r="D74" t="inlineStr">
        <is>
          <t>VÄSTMANLANDS LÄN</t>
        </is>
      </c>
      <c r="E74" t="inlineStr">
        <is>
          <t>SURAHAMMAR</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37799-2021</t>
        </is>
      </c>
      <c r="B75" s="1" t="n">
        <v>44402</v>
      </c>
      <c r="C75" s="1" t="n">
        <v>45908</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73156-2021</t>
        </is>
      </c>
      <c r="B76" s="1" t="n">
        <v>44550</v>
      </c>
      <c r="C76" s="1" t="n">
        <v>45908</v>
      </c>
      <c r="D76" t="inlineStr">
        <is>
          <t>VÄSTMANLANDS LÄN</t>
        </is>
      </c>
      <c r="E76" t="inlineStr">
        <is>
          <t>SURAHAMMAR</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38178-2021</t>
        </is>
      </c>
      <c r="B77" s="1" t="n">
        <v>44405</v>
      </c>
      <c r="C77" s="1" t="n">
        <v>45908</v>
      </c>
      <c r="D77" t="inlineStr">
        <is>
          <t>VÄSTMANLANDS LÄN</t>
        </is>
      </c>
      <c r="E77" t="inlineStr">
        <is>
          <t>SURAHAMMAR</t>
        </is>
      </c>
      <c r="F77" t="inlineStr">
        <is>
          <t>Sveaskog</t>
        </is>
      </c>
      <c r="G77" t="n">
        <v>1.3</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45908</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45908</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66342-2021</t>
        </is>
      </c>
      <c r="B80" s="1" t="n">
        <v>44518</v>
      </c>
      <c r="C80" s="1" t="n">
        <v>45908</v>
      </c>
      <c r="D80" t="inlineStr">
        <is>
          <t>VÄSTMANLANDS LÄN</t>
        </is>
      </c>
      <c r="E80" t="inlineStr">
        <is>
          <t>SURAHAMMAR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45908</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34957-2022</t>
        </is>
      </c>
      <c r="B82" s="1" t="n">
        <v>44796.64672453704</v>
      </c>
      <c r="C82" s="1" t="n">
        <v>45908</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45908</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45908</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43590-2020</t>
        </is>
      </c>
      <c r="B85" s="1" t="n">
        <v>44082</v>
      </c>
      <c r="C85" s="1" t="n">
        <v>45908</v>
      </c>
      <c r="D85" t="inlineStr">
        <is>
          <t>VÄSTMANLANDS LÄN</t>
        </is>
      </c>
      <c r="E85" t="inlineStr">
        <is>
          <t>SURAHAMMAR</t>
        </is>
      </c>
      <c r="F85" t="inlineStr">
        <is>
          <t>Sveaskog</t>
        </is>
      </c>
      <c r="G85" t="n">
        <v>2.1</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45908</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45908</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45908</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45908</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45908</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16608-2022</t>
        </is>
      </c>
      <c r="B91" s="1" t="n">
        <v>44672</v>
      </c>
      <c r="C91" s="1" t="n">
        <v>45908</v>
      </c>
      <c r="D91" t="inlineStr">
        <is>
          <t>VÄSTMANLANDS LÄN</t>
        </is>
      </c>
      <c r="E91" t="inlineStr">
        <is>
          <t>SURAHAMMAR</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15637-2022</t>
        </is>
      </c>
      <c r="B92" s="1" t="n">
        <v>44662.89638888889</v>
      </c>
      <c r="C92" s="1" t="n">
        <v>45908</v>
      </c>
      <c r="D92" t="inlineStr">
        <is>
          <t>VÄSTMANLANDS LÄN</t>
        </is>
      </c>
      <c r="E92" t="inlineStr">
        <is>
          <t>SURAHAMMAR</t>
        </is>
      </c>
      <c r="G92" t="n">
        <v>2.2</v>
      </c>
      <c r="H92" t="n">
        <v>0</v>
      </c>
      <c r="I92" t="n">
        <v>0</v>
      </c>
      <c r="J92" t="n">
        <v>0</v>
      </c>
      <c r="K92" t="n">
        <v>0</v>
      </c>
      <c r="L92" t="n">
        <v>0</v>
      </c>
      <c r="M92" t="n">
        <v>0</v>
      </c>
      <c r="N92" t="n">
        <v>0</v>
      </c>
      <c r="O92" t="n">
        <v>0</v>
      </c>
      <c r="P92" t="n">
        <v>0</v>
      </c>
      <c r="Q92" t="n">
        <v>0</v>
      </c>
      <c r="R92" s="2" t="inlineStr"/>
    </row>
    <row r="93" ht="15" customHeight="1">
      <c r="A93" t="inlineStr">
        <is>
          <t>A 19846-2022</t>
        </is>
      </c>
      <c r="B93" s="1" t="n">
        <v>44696.89327546296</v>
      </c>
      <c r="C93" s="1" t="n">
        <v>45908</v>
      </c>
      <c r="D93" t="inlineStr">
        <is>
          <t>VÄSTMANLANDS LÄN</t>
        </is>
      </c>
      <c r="E93" t="inlineStr">
        <is>
          <t>SURAHAMMAR</t>
        </is>
      </c>
      <c r="F93" t="inlineStr">
        <is>
          <t>Kommuner</t>
        </is>
      </c>
      <c r="G93" t="n">
        <v>3.4</v>
      </c>
      <c r="H93" t="n">
        <v>0</v>
      </c>
      <c r="I93" t="n">
        <v>0</v>
      </c>
      <c r="J93" t="n">
        <v>0</v>
      </c>
      <c r="K93" t="n">
        <v>0</v>
      </c>
      <c r="L93" t="n">
        <v>0</v>
      </c>
      <c r="M93" t="n">
        <v>0</v>
      </c>
      <c r="N93" t="n">
        <v>0</v>
      </c>
      <c r="O93" t="n">
        <v>0</v>
      </c>
      <c r="P93" t="n">
        <v>0</v>
      </c>
      <c r="Q93" t="n">
        <v>0</v>
      </c>
      <c r="R93" s="2" t="inlineStr"/>
    </row>
    <row r="94" ht="15" customHeight="1">
      <c r="A94" t="inlineStr">
        <is>
          <t>A 47785-2021</t>
        </is>
      </c>
      <c r="B94" s="1" t="n">
        <v>44448</v>
      </c>
      <c r="C94" s="1" t="n">
        <v>45908</v>
      </c>
      <c r="D94" t="inlineStr">
        <is>
          <t>VÄSTMANLANDS LÄN</t>
        </is>
      </c>
      <c r="E94" t="inlineStr">
        <is>
          <t>SURAHAMMAR</t>
        </is>
      </c>
      <c r="F94" t="inlineStr">
        <is>
          <t>Kommuner</t>
        </is>
      </c>
      <c r="G94" t="n">
        <v>3.3</v>
      </c>
      <c r="H94" t="n">
        <v>0</v>
      </c>
      <c r="I94" t="n">
        <v>0</v>
      </c>
      <c r="J94" t="n">
        <v>0</v>
      </c>
      <c r="K94" t="n">
        <v>0</v>
      </c>
      <c r="L94" t="n">
        <v>0</v>
      </c>
      <c r="M94" t="n">
        <v>0</v>
      </c>
      <c r="N94" t="n">
        <v>0</v>
      </c>
      <c r="O94" t="n">
        <v>0</v>
      </c>
      <c r="P94" t="n">
        <v>0</v>
      </c>
      <c r="Q94" t="n">
        <v>0</v>
      </c>
      <c r="R94" s="2" t="inlineStr"/>
    </row>
    <row r="95" ht="15" customHeight="1">
      <c r="A95" t="inlineStr">
        <is>
          <t>A 13119-2022</t>
        </is>
      </c>
      <c r="B95" s="1" t="n">
        <v>44643</v>
      </c>
      <c r="C95" s="1" t="n">
        <v>45908</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8553-2023</t>
        </is>
      </c>
      <c r="B96" s="1" t="n">
        <v>44977</v>
      </c>
      <c r="C96" s="1" t="n">
        <v>45908</v>
      </c>
      <c r="D96" t="inlineStr">
        <is>
          <t>VÄSTMANLANDS LÄN</t>
        </is>
      </c>
      <c r="E96" t="inlineStr">
        <is>
          <t>SURAHAMMAR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19786-2023</t>
        </is>
      </c>
      <c r="B97" s="1" t="n">
        <v>45050</v>
      </c>
      <c r="C97" s="1" t="n">
        <v>45908</v>
      </c>
      <c r="D97" t="inlineStr">
        <is>
          <t>VÄSTMANLANDS LÄN</t>
        </is>
      </c>
      <c r="E97" t="inlineStr">
        <is>
          <t>SURAHAMMAR</t>
        </is>
      </c>
      <c r="F97" t="inlineStr">
        <is>
          <t>Bergvik skog väst AB</t>
        </is>
      </c>
      <c r="G97" t="n">
        <v>8.1</v>
      </c>
      <c r="H97" t="n">
        <v>0</v>
      </c>
      <c r="I97" t="n">
        <v>0</v>
      </c>
      <c r="J97" t="n">
        <v>0</v>
      </c>
      <c r="K97" t="n">
        <v>0</v>
      </c>
      <c r="L97" t="n">
        <v>0</v>
      </c>
      <c r="M97" t="n">
        <v>0</v>
      </c>
      <c r="N97" t="n">
        <v>0</v>
      </c>
      <c r="O97" t="n">
        <v>0</v>
      </c>
      <c r="P97" t="n">
        <v>0</v>
      </c>
      <c r="Q97" t="n">
        <v>0</v>
      </c>
      <c r="R97" s="2" t="inlineStr"/>
    </row>
    <row r="98" ht="15" customHeight="1">
      <c r="A98" t="inlineStr">
        <is>
          <t>A 48205-2023</t>
        </is>
      </c>
      <c r="B98" s="1" t="n">
        <v>45205</v>
      </c>
      <c r="C98" s="1" t="n">
        <v>45908</v>
      </c>
      <c r="D98" t="inlineStr">
        <is>
          <t>VÄSTMANLANDS LÄN</t>
        </is>
      </c>
      <c r="E98" t="inlineStr">
        <is>
          <t>SURAHAMMAR</t>
        </is>
      </c>
      <c r="F98" t="inlineStr">
        <is>
          <t>Allmännings- och besparingsskogar</t>
        </is>
      </c>
      <c r="G98" t="n">
        <v>7.6</v>
      </c>
      <c r="H98" t="n">
        <v>0</v>
      </c>
      <c r="I98" t="n">
        <v>0</v>
      </c>
      <c r="J98" t="n">
        <v>0</v>
      </c>
      <c r="K98" t="n">
        <v>0</v>
      </c>
      <c r="L98" t="n">
        <v>0</v>
      </c>
      <c r="M98" t="n">
        <v>0</v>
      </c>
      <c r="N98" t="n">
        <v>0</v>
      </c>
      <c r="O98" t="n">
        <v>0</v>
      </c>
      <c r="P98" t="n">
        <v>0</v>
      </c>
      <c r="Q98" t="n">
        <v>0</v>
      </c>
      <c r="R98" s="2" t="inlineStr"/>
    </row>
    <row r="99" ht="15" customHeight="1">
      <c r="A99" t="inlineStr">
        <is>
          <t>A 15743-2023</t>
        </is>
      </c>
      <c r="B99" s="1" t="n">
        <v>45021</v>
      </c>
      <c r="C99" s="1" t="n">
        <v>45908</v>
      </c>
      <c r="D99" t="inlineStr">
        <is>
          <t>VÄSTMANLANDS LÄN</t>
        </is>
      </c>
      <c r="E99" t="inlineStr">
        <is>
          <t>SURAHAMMAR</t>
        </is>
      </c>
      <c r="G99" t="n">
        <v>0.5</v>
      </c>
      <c r="H99" t="n">
        <v>0</v>
      </c>
      <c r="I99" t="n">
        <v>0</v>
      </c>
      <c r="J99" t="n">
        <v>0</v>
      </c>
      <c r="K99" t="n">
        <v>0</v>
      </c>
      <c r="L99" t="n">
        <v>0</v>
      </c>
      <c r="M99" t="n">
        <v>0</v>
      </c>
      <c r="N99" t="n">
        <v>0</v>
      </c>
      <c r="O99" t="n">
        <v>0</v>
      </c>
      <c r="P99" t="n">
        <v>0</v>
      </c>
      <c r="Q99" t="n">
        <v>0</v>
      </c>
      <c r="R99" s="2" t="inlineStr"/>
    </row>
    <row r="100" ht="15" customHeight="1">
      <c r="A100" t="inlineStr">
        <is>
          <t>A 30076-2023</t>
        </is>
      </c>
      <c r="B100" s="1" t="n">
        <v>45110</v>
      </c>
      <c r="C100" s="1" t="n">
        <v>45908</v>
      </c>
      <c r="D100" t="inlineStr">
        <is>
          <t>VÄSTMANLANDS LÄN</t>
        </is>
      </c>
      <c r="E100" t="inlineStr">
        <is>
          <t>SURAHAMMAR</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15739-2023</t>
        </is>
      </c>
      <c r="B101" s="1" t="n">
        <v>45021</v>
      </c>
      <c r="C101" s="1" t="n">
        <v>45908</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7787-2024</t>
        </is>
      </c>
      <c r="B102" s="1" t="n">
        <v>45348</v>
      </c>
      <c r="C102" s="1" t="n">
        <v>45908</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14626-2023</t>
        </is>
      </c>
      <c r="B103" s="1" t="n">
        <v>45012</v>
      </c>
      <c r="C103" s="1" t="n">
        <v>45908</v>
      </c>
      <c r="D103" t="inlineStr">
        <is>
          <t>VÄSTMANLANDS LÄN</t>
        </is>
      </c>
      <c r="E103" t="inlineStr">
        <is>
          <t>SURAHAMMAR</t>
        </is>
      </c>
      <c r="F103" t="inlineStr">
        <is>
          <t>Bergvik skog väst AB</t>
        </is>
      </c>
      <c r="G103" t="n">
        <v>5</v>
      </c>
      <c r="H103" t="n">
        <v>0</v>
      </c>
      <c r="I103" t="n">
        <v>0</v>
      </c>
      <c r="J103" t="n">
        <v>0</v>
      </c>
      <c r="K103" t="n">
        <v>0</v>
      </c>
      <c r="L103" t="n">
        <v>0</v>
      </c>
      <c r="M103" t="n">
        <v>0</v>
      </c>
      <c r="N103" t="n">
        <v>0</v>
      </c>
      <c r="O103" t="n">
        <v>0</v>
      </c>
      <c r="P103" t="n">
        <v>0</v>
      </c>
      <c r="Q103" t="n">
        <v>0</v>
      </c>
      <c r="R103" s="2" t="inlineStr"/>
    </row>
    <row r="104" ht="15" customHeight="1">
      <c r="A104" t="inlineStr">
        <is>
          <t>A 38154-2021</t>
        </is>
      </c>
      <c r="B104" s="1" t="n">
        <v>44405.42373842592</v>
      </c>
      <c r="C104" s="1" t="n">
        <v>45908</v>
      </c>
      <c r="D104" t="inlineStr">
        <is>
          <t>VÄSTMANLANDS LÄN</t>
        </is>
      </c>
      <c r="E104" t="inlineStr">
        <is>
          <t>SURAHAMMAR</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37798-2021</t>
        </is>
      </c>
      <c r="B105" s="1" t="n">
        <v>44402</v>
      </c>
      <c r="C105" s="1" t="n">
        <v>45908</v>
      </c>
      <c r="D105" t="inlineStr">
        <is>
          <t>VÄSTMANLANDS LÄN</t>
        </is>
      </c>
      <c r="E105" t="inlineStr">
        <is>
          <t>SURAHAMMAR</t>
        </is>
      </c>
      <c r="F105" t="inlineStr">
        <is>
          <t>Kommuner</t>
        </is>
      </c>
      <c r="G105" t="n">
        <v>1.2</v>
      </c>
      <c r="H105" t="n">
        <v>0</v>
      </c>
      <c r="I105" t="n">
        <v>0</v>
      </c>
      <c r="J105" t="n">
        <v>0</v>
      </c>
      <c r="K105" t="n">
        <v>0</v>
      </c>
      <c r="L105" t="n">
        <v>0</v>
      </c>
      <c r="M105" t="n">
        <v>0</v>
      </c>
      <c r="N105" t="n">
        <v>0</v>
      </c>
      <c r="O105" t="n">
        <v>0</v>
      </c>
      <c r="P105" t="n">
        <v>0</v>
      </c>
      <c r="Q105" t="n">
        <v>0</v>
      </c>
      <c r="R105" s="2" t="inlineStr"/>
    </row>
    <row r="106" ht="15" customHeight="1">
      <c r="A106" t="inlineStr">
        <is>
          <t>A 25450-2024</t>
        </is>
      </c>
      <c r="B106" s="1" t="n">
        <v>45463</v>
      </c>
      <c r="C106" s="1" t="n">
        <v>45908</v>
      </c>
      <c r="D106" t="inlineStr">
        <is>
          <t>VÄSTMANLANDS LÄN</t>
        </is>
      </c>
      <c r="E106" t="inlineStr">
        <is>
          <t>SURAHAMMAR</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37287-2023</t>
        </is>
      </c>
      <c r="B107" s="1" t="n">
        <v>45156</v>
      </c>
      <c r="C107" s="1" t="n">
        <v>45908</v>
      </c>
      <c r="D107" t="inlineStr">
        <is>
          <t>VÄSTMANLANDS LÄN</t>
        </is>
      </c>
      <c r="E107" t="inlineStr">
        <is>
          <t>SURAHAMMAR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41576-2022</t>
        </is>
      </c>
      <c r="B108" s="1" t="n">
        <v>44826</v>
      </c>
      <c r="C108" s="1" t="n">
        <v>45908</v>
      </c>
      <c r="D108" t="inlineStr">
        <is>
          <t>VÄSTMANLANDS LÄN</t>
        </is>
      </c>
      <c r="E108" t="inlineStr">
        <is>
          <t>SURAHAMMAR</t>
        </is>
      </c>
      <c r="F108" t="inlineStr">
        <is>
          <t>Bergvik skog väst AB</t>
        </is>
      </c>
      <c r="G108" t="n">
        <v>6.4</v>
      </c>
      <c r="H108" t="n">
        <v>0</v>
      </c>
      <c r="I108" t="n">
        <v>0</v>
      </c>
      <c r="J108" t="n">
        <v>0</v>
      </c>
      <c r="K108" t="n">
        <v>0</v>
      </c>
      <c r="L108" t="n">
        <v>0</v>
      </c>
      <c r="M108" t="n">
        <v>0</v>
      </c>
      <c r="N108" t="n">
        <v>0</v>
      </c>
      <c r="O108" t="n">
        <v>0</v>
      </c>
      <c r="P108" t="n">
        <v>0</v>
      </c>
      <c r="Q108" t="n">
        <v>0</v>
      </c>
      <c r="R108" s="2" t="inlineStr"/>
    </row>
    <row r="109" ht="15" customHeight="1">
      <c r="A109" t="inlineStr">
        <is>
          <t>A 19782-2023</t>
        </is>
      </c>
      <c r="B109" s="1" t="n">
        <v>45050</v>
      </c>
      <c r="C109" s="1" t="n">
        <v>45908</v>
      </c>
      <c r="D109" t="inlineStr">
        <is>
          <t>VÄSTMANLANDS LÄN</t>
        </is>
      </c>
      <c r="E109" t="inlineStr">
        <is>
          <t>SURAHAMMAR</t>
        </is>
      </c>
      <c r="F109" t="inlineStr">
        <is>
          <t>Bergvik skog väst AB</t>
        </is>
      </c>
      <c r="G109" t="n">
        <v>5.2</v>
      </c>
      <c r="H109" t="n">
        <v>0</v>
      </c>
      <c r="I109" t="n">
        <v>0</v>
      </c>
      <c r="J109" t="n">
        <v>0</v>
      </c>
      <c r="K109" t="n">
        <v>0</v>
      </c>
      <c r="L109" t="n">
        <v>0</v>
      </c>
      <c r="M109" t="n">
        <v>0</v>
      </c>
      <c r="N109" t="n">
        <v>0</v>
      </c>
      <c r="O109" t="n">
        <v>0</v>
      </c>
      <c r="P109" t="n">
        <v>0</v>
      </c>
      <c r="Q109" t="n">
        <v>0</v>
      </c>
      <c r="R109" s="2" t="inlineStr"/>
    </row>
    <row r="110" ht="15" customHeight="1">
      <c r="A110" t="inlineStr">
        <is>
          <t>A 7848-2022</t>
        </is>
      </c>
      <c r="B110" s="1" t="n">
        <v>44608.58400462963</v>
      </c>
      <c r="C110" s="1" t="n">
        <v>45908</v>
      </c>
      <c r="D110" t="inlineStr">
        <is>
          <t>VÄSTMANLANDS LÄN</t>
        </is>
      </c>
      <c r="E110" t="inlineStr">
        <is>
          <t>SURAHAMMAR</t>
        </is>
      </c>
      <c r="G110" t="n">
        <v>2.1</v>
      </c>
      <c r="H110" t="n">
        <v>0</v>
      </c>
      <c r="I110" t="n">
        <v>0</v>
      </c>
      <c r="J110" t="n">
        <v>0</v>
      </c>
      <c r="K110" t="n">
        <v>0</v>
      </c>
      <c r="L110" t="n">
        <v>0</v>
      </c>
      <c r="M110" t="n">
        <v>0</v>
      </c>
      <c r="N110" t="n">
        <v>0</v>
      </c>
      <c r="O110" t="n">
        <v>0</v>
      </c>
      <c r="P110" t="n">
        <v>0</v>
      </c>
      <c r="Q110" t="n">
        <v>0</v>
      </c>
      <c r="R110" s="2" t="inlineStr"/>
    </row>
    <row r="111" ht="15" customHeight="1">
      <c r="A111" t="inlineStr">
        <is>
          <t>A 24167-2024</t>
        </is>
      </c>
      <c r="B111" s="1" t="n">
        <v>45456</v>
      </c>
      <c r="C111" s="1" t="n">
        <v>45908</v>
      </c>
      <c r="D111" t="inlineStr">
        <is>
          <t>VÄSTMANLANDS LÄN</t>
        </is>
      </c>
      <c r="E111" t="inlineStr">
        <is>
          <t>SURAHAMMAR</t>
        </is>
      </c>
      <c r="G111" t="n">
        <v>0.6</v>
      </c>
      <c r="H111" t="n">
        <v>0</v>
      </c>
      <c r="I111" t="n">
        <v>0</v>
      </c>
      <c r="J111" t="n">
        <v>0</v>
      </c>
      <c r="K111" t="n">
        <v>0</v>
      </c>
      <c r="L111" t="n">
        <v>0</v>
      </c>
      <c r="M111" t="n">
        <v>0</v>
      </c>
      <c r="N111" t="n">
        <v>0</v>
      </c>
      <c r="O111" t="n">
        <v>0</v>
      </c>
      <c r="P111" t="n">
        <v>0</v>
      </c>
      <c r="Q111" t="n">
        <v>0</v>
      </c>
      <c r="R111" s="2" t="inlineStr"/>
    </row>
    <row r="112" ht="15" customHeight="1">
      <c r="A112" t="inlineStr">
        <is>
          <t>A 37013-2025</t>
        </is>
      </c>
      <c r="B112" s="1" t="n">
        <v>45874</v>
      </c>
      <c r="C112" s="1" t="n">
        <v>45908</v>
      </c>
      <c r="D112" t="inlineStr">
        <is>
          <t>VÄSTMANLANDS LÄN</t>
        </is>
      </c>
      <c r="E112" t="inlineStr">
        <is>
          <t>SURAHAMMAR</t>
        </is>
      </c>
      <c r="F112" t="inlineStr">
        <is>
          <t>Bergvik skog väst AB</t>
        </is>
      </c>
      <c r="G112" t="n">
        <v>10.7</v>
      </c>
      <c r="H112" t="n">
        <v>0</v>
      </c>
      <c r="I112" t="n">
        <v>0</v>
      </c>
      <c r="J112" t="n">
        <v>0</v>
      </c>
      <c r="K112" t="n">
        <v>0</v>
      </c>
      <c r="L112" t="n">
        <v>0</v>
      </c>
      <c r="M112" t="n">
        <v>0</v>
      </c>
      <c r="N112" t="n">
        <v>0</v>
      </c>
      <c r="O112" t="n">
        <v>0</v>
      </c>
      <c r="P112" t="n">
        <v>0</v>
      </c>
      <c r="Q112" t="n">
        <v>0</v>
      </c>
      <c r="R112" s="2" t="inlineStr"/>
    </row>
    <row r="113" ht="15" customHeight="1">
      <c r="A113" t="inlineStr">
        <is>
          <t>A 72367-2021</t>
        </is>
      </c>
      <c r="B113" s="1" t="n">
        <v>44545</v>
      </c>
      <c r="C113" s="1" t="n">
        <v>45908</v>
      </c>
      <c r="D113" t="inlineStr">
        <is>
          <t>VÄSTMANLANDS LÄN</t>
        </is>
      </c>
      <c r="E113" t="inlineStr">
        <is>
          <t>SURAHAMMAR</t>
        </is>
      </c>
      <c r="G113" t="n">
        <v>2.5</v>
      </c>
      <c r="H113" t="n">
        <v>0</v>
      </c>
      <c r="I113" t="n">
        <v>0</v>
      </c>
      <c r="J113" t="n">
        <v>0</v>
      </c>
      <c r="K113" t="n">
        <v>0</v>
      </c>
      <c r="L113" t="n">
        <v>0</v>
      </c>
      <c r="M113" t="n">
        <v>0</v>
      </c>
      <c r="N113" t="n">
        <v>0</v>
      </c>
      <c r="O113" t="n">
        <v>0</v>
      </c>
      <c r="P113" t="n">
        <v>0</v>
      </c>
      <c r="Q113" t="n">
        <v>0</v>
      </c>
      <c r="R113" s="2" t="inlineStr"/>
    </row>
    <row r="114" ht="15" customHeight="1">
      <c r="A114" t="inlineStr">
        <is>
          <t>A 56378-2023</t>
        </is>
      </c>
      <c r="B114" s="1" t="n">
        <v>45236</v>
      </c>
      <c r="C114" s="1" t="n">
        <v>45908</v>
      </c>
      <c r="D114" t="inlineStr">
        <is>
          <t>VÄSTMANLANDS LÄN</t>
        </is>
      </c>
      <c r="E114" t="inlineStr">
        <is>
          <t>SURAHAMMAR</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52074-2020</t>
        </is>
      </c>
      <c r="B115" s="1" t="n">
        <v>44117</v>
      </c>
      <c r="C115" s="1" t="n">
        <v>45908</v>
      </c>
      <c r="D115" t="inlineStr">
        <is>
          <t>VÄSTMANLANDS LÄN</t>
        </is>
      </c>
      <c r="E115" t="inlineStr">
        <is>
          <t>SURAHAMMAR</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37954-2025</t>
        </is>
      </c>
      <c r="B116" s="1" t="n">
        <v>45881</v>
      </c>
      <c r="C116" s="1" t="n">
        <v>45908</v>
      </c>
      <c r="D116" t="inlineStr">
        <is>
          <t>VÄSTMANLANDS LÄN</t>
        </is>
      </c>
      <c r="E116" t="inlineStr">
        <is>
          <t>SURAHAMMAR</t>
        </is>
      </c>
      <c r="G116" t="n">
        <v>9.5</v>
      </c>
      <c r="H116" t="n">
        <v>0</v>
      </c>
      <c r="I116" t="n">
        <v>0</v>
      </c>
      <c r="J116" t="n">
        <v>0</v>
      </c>
      <c r="K116" t="n">
        <v>0</v>
      </c>
      <c r="L116" t="n">
        <v>0</v>
      </c>
      <c r="M116" t="n">
        <v>0</v>
      </c>
      <c r="N116" t="n">
        <v>0</v>
      </c>
      <c r="O116" t="n">
        <v>0</v>
      </c>
      <c r="P116" t="n">
        <v>0</v>
      </c>
      <c r="Q116" t="n">
        <v>0</v>
      </c>
      <c r="R116" s="2" t="inlineStr"/>
    </row>
    <row r="117" ht="15" customHeight="1">
      <c r="A117" t="inlineStr">
        <is>
          <t>A 19099-2022</t>
        </is>
      </c>
      <c r="B117" s="1" t="n">
        <v>44691</v>
      </c>
      <c r="C117" s="1" t="n">
        <v>45908</v>
      </c>
      <c r="D117" t="inlineStr">
        <is>
          <t>VÄSTMANLANDS LÄN</t>
        </is>
      </c>
      <c r="E117" t="inlineStr">
        <is>
          <t>SURAHAMMAR</t>
        </is>
      </c>
      <c r="F117" t="inlineStr">
        <is>
          <t>Övriga Aktiebolag</t>
        </is>
      </c>
      <c r="G117" t="n">
        <v>3.4</v>
      </c>
      <c r="H117" t="n">
        <v>0</v>
      </c>
      <c r="I117" t="n">
        <v>0</v>
      </c>
      <c r="J117" t="n">
        <v>0</v>
      </c>
      <c r="K117" t="n">
        <v>0</v>
      </c>
      <c r="L117" t="n">
        <v>0</v>
      </c>
      <c r="M117" t="n">
        <v>0</v>
      </c>
      <c r="N117" t="n">
        <v>0</v>
      </c>
      <c r="O117" t="n">
        <v>0</v>
      </c>
      <c r="P117" t="n">
        <v>0</v>
      </c>
      <c r="Q117" t="n">
        <v>0</v>
      </c>
      <c r="R117" s="2" t="inlineStr"/>
    </row>
    <row r="118" ht="15" customHeight="1">
      <c r="A118" t="inlineStr">
        <is>
          <t>A 34582-2025</t>
        </is>
      </c>
      <c r="B118" s="1" t="n">
        <v>45846</v>
      </c>
      <c r="C118" s="1" t="n">
        <v>45908</v>
      </c>
      <c r="D118" t="inlineStr">
        <is>
          <t>VÄSTMANLANDS LÄN</t>
        </is>
      </c>
      <c r="E118" t="inlineStr">
        <is>
          <t>SURAHAMMAR</t>
        </is>
      </c>
      <c r="F118" t="inlineStr">
        <is>
          <t>Bergvik skog väst AB</t>
        </is>
      </c>
      <c r="G118" t="n">
        <v>2.6</v>
      </c>
      <c r="H118" t="n">
        <v>0</v>
      </c>
      <c r="I118" t="n">
        <v>0</v>
      </c>
      <c r="J118" t="n">
        <v>0</v>
      </c>
      <c r="K118" t="n">
        <v>0</v>
      </c>
      <c r="L118" t="n">
        <v>0</v>
      </c>
      <c r="M118" t="n">
        <v>0</v>
      </c>
      <c r="N118" t="n">
        <v>0</v>
      </c>
      <c r="O118" t="n">
        <v>0</v>
      </c>
      <c r="P118" t="n">
        <v>0</v>
      </c>
      <c r="Q118" t="n">
        <v>0</v>
      </c>
      <c r="R118" s="2" t="inlineStr"/>
    </row>
    <row r="119" ht="15" customHeight="1">
      <c r="A119" t="inlineStr">
        <is>
          <t>A 34584-2025</t>
        </is>
      </c>
      <c r="B119" s="1" t="n">
        <v>45846</v>
      </c>
      <c r="C119" s="1" t="n">
        <v>45908</v>
      </c>
      <c r="D119" t="inlineStr">
        <is>
          <t>VÄSTMANLANDS LÄN</t>
        </is>
      </c>
      <c r="E119" t="inlineStr">
        <is>
          <t>SURAHAMMAR</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11501-2023</t>
        </is>
      </c>
      <c r="B120" s="1" t="n">
        <v>44991</v>
      </c>
      <c r="C120" s="1" t="n">
        <v>45908</v>
      </c>
      <c r="D120" t="inlineStr">
        <is>
          <t>VÄSTMANLANDS LÄN</t>
        </is>
      </c>
      <c r="E120" t="inlineStr">
        <is>
          <t>SURAHAMMAR</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33931-2022</t>
        </is>
      </c>
      <c r="B121" s="1" t="n">
        <v>44790.65153935185</v>
      </c>
      <c r="C121" s="1" t="n">
        <v>45908</v>
      </c>
      <c r="D121" t="inlineStr">
        <is>
          <t>VÄSTMANLANDS LÄN</t>
        </is>
      </c>
      <c r="E121" t="inlineStr">
        <is>
          <t>SURAHAMMAR</t>
        </is>
      </c>
      <c r="G121" t="n">
        <v>2.2</v>
      </c>
      <c r="H121" t="n">
        <v>0</v>
      </c>
      <c r="I121" t="n">
        <v>0</v>
      </c>
      <c r="J121" t="n">
        <v>0</v>
      </c>
      <c r="K121" t="n">
        <v>0</v>
      </c>
      <c r="L121" t="n">
        <v>0</v>
      </c>
      <c r="M121" t="n">
        <v>0</v>
      </c>
      <c r="N121" t="n">
        <v>0</v>
      </c>
      <c r="O121" t="n">
        <v>0</v>
      </c>
      <c r="P121" t="n">
        <v>0</v>
      </c>
      <c r="Q121" t="n">
        <v>0</v>
      </c>
      <c r="R121" s="2" t="inlineStr"/>
    </row>
    <row r="122" ht="15" customHeight="1">
      <c r="A122" t="inlineStr">
        <is>
          <t>A 32916-2025</t>
        </is>
      </c>
      <c r="B122" s="1" t="n">
        <v>45839</v>
      </c>
      <c r="C122" s="1" t="n">
        <v>45908</v>
      </c>
      <c r="D122" t="inlineStr">
        <is>
          <t>VÄSTMANLANDS LÄN</t>
        </is>
      </c>
      <c r="E122" t="inlineStr">
        <is>
          <t>SURAHAMMAR</t>
        </is>
      </c>
      <c r="F122" t="inlineStr">
        <is>
          <t>Kommuner</t>
        </is>
      </c>
      <c r="G122" t="n">
        <v>4.9</v>
      </c>
      <c r="H122" t="n">
        <v>0</v>
      </c>
      <c r="I122" t="n">
        <v>0</v>
      </c>
      <c r="J122" t="n">
        <v>0</v>
      </c>
      <c r="K122" t="n">
        <v>0</v>
      </c>
      <c r="L122" t="n">
        <v>0</v>
      </c>
      <c r="M122" t="n">
        <v>0</v>
      </c>
      <c r="N122" t="n">
        <v>0</v>
      </c>
      <c r="O122" t="n">
        <v>0</v>
      </c>
      <c r="P122" t="n">
        <v>0</v>
      </c>
      <c r="Q122" t="n">
        <v>0</v>
      </c>
      <c r="R122" s="2" t="inlineStr"/>
    </row>
    <row r="123" ht="15" customHeight="1">
      <c r="A123" t="inlineStr">
        <is>
          <t>A 32910-2025</t>
        </is>
      </c>
      <c r="B123" s="1" t="n">
        <v>45839</v>
      </c>
      <c r="C123" s="1" t="n">
        <v>45908</v>
      </c>
      <c r="D123" t="inlineStr">
        <is>
          <t>VÄSTMANLANDS LÄN</t>
        </is>
      </c>
      <c r="E123" t="inlineStr">
        <is>
          <t>SURAHAMMAR</t>
        </is>
      </c>
      <c r="F123" t="inlineStr">
        <is>
          <t>Kommuner</t>
        </is>
      </c>
      <c r="G123" t="n">
        <v>1.1</v>
      </c>
      <c r="H123" t="n">
        <v>0</v>
      </c>
      <c r="I123" t="n">
        <v>0</v>
      </c>
      <c r="J123" t="n">
        <v>0</v>
      </c>
      <c r="K123" t="n">
        <v>0</v>
      </c>
      <c r="L123" t="n">
        <v>0</v>
      </c>
      <c r="M123" t="n">
        <v>0</v>
      </c>
      <c r="N123" t="n">
        <v>0</v>
      </c>
      <c r="O123" t="n">
        <v>0</v>
      </c>
      <c r="P123" t="n">
        <v>0</v>
      </c>
      <c r="Q123" t="n">
        <v>0</v>
      </c>
      <c r="R123" s="2" t="inlineStr"/>
    </row>
    <row r="124" ht="15" customHeight="1">
      <c r="A124" t="inlineStr">
        <is>
          <t>A 42088-2025</t>
        </is>
      </c>
      <c r="B124" s="1" t="n">
        <v>45902</v>
      </c>
      <c r="C124" s="1" t="n">
        <v>45908</v>
      </c>
      <c r="D124" t="inlineStr">
        <is>
          <t>VÄSTMANLANDS LÄN</t>
        </is>
      </c>
      <c r="E124" t="inlineStr">
        <is>
          <t>SURAHAMMAR</t>
        </is>
      </c>
      <c r="G124" t="n">
        <v>1</v>
      </c>
      <c r="H124" t="n">
        <v>0</v>
      </c>
      <c r="I124" t="n">
        <v>0</v>
      </c>
      <c r="J124" t="n">
        <v>0</v>
      </c>
      <c r="K124" t="n">
        <v>0</v>
      </c>
      <c r="L124" t="n">
        <v>0</v>
      </c>
      <c r="M124" t="n">
        <v>0</v>
      </c>
      <c r="N124" t="n">
        <v>0</v>
      </c>
      <c r="O124" t="n">
        <v>0</v>
      </c>
      <c r="P124" t="n">
        <v>0</v>
      </c>
      <c r="Q124" t="n">
        <v>0</v>
      </c>
      <c r="R124" s="2" t="inlineStr"/>
    </row>
    <row r="125" ht="15" customHeight="1">
      <c r="A125" t="inlineStr">
        <is>
          <t>A 10396-2025</t>
        </is>
      </c>
      <c r="B125" s="1" t="n">
        <v>45720.60721064815</v>
      </c>
      <c r="C125" s="1" t="n">
        <v>45908</v>
      </c>
      <c r="D125" t="inlineStr">
        <is>
          <t>VÄSTMANLANDS LÄN</t>
        </is>
      </c>
      <c r="E125" t="inlineStr">
        <is>
          <t>SURAHAMMAR</t>
        </is>
      </c>
      <c r="F125" t="inlineStr">
        <is>
          <t>Allmännings- och besparingsskogar</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24158-2023</t>
        </is>
      </c>
      <c r="B126" s="1" t="n">
        <v>45079</v>
      </c>
      <c r="C126" s="1" t="n">
        <v>45908</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3818-2022</t>
        </is>
      </c>
      <c r="B127" s="1" t="n">
        <v>44587</v>
      </c>
      <c r="C127" s="1" t="n">
        <v>45908</v>
      </c>
      <c r="D127" t="inlineStr">
        <is>
          <t>VÄSTMANLANDS LÄN</t>
        </is>
      </c>
      <c r="E127" t="inlineStr">
        <is>
          <t>SURAHAMMAR</t>
        </is>
      </c>
      <c r="G127" t="n">
        <v>2.6</v>
      </c>
      <c r="H127" t="n">
        <v>0</v>
      </c>
      <c r="I127" t="n">
        <v>0</v>
      </c>
      <c r="J127" t="n">
        <v>0</v>
      </c>
      <c r="K127" t="n">
        <v>0</v>
      </c>
      <c r="L127" t="n">
        <v>0</v>
      </c>
      <c r="M127" t="n">
        <v>0</v>
      </c>
      <c r="N127" t="n">
        <v>0</v>
      </c>
      <c r="O127" t="n">
        <v>0</v>
      </c>
      <c r="P127" t="n">
        <v>0</v>
      </c>
      <c r="Q127" t="n">
        <v>0</v>
      </c>
      <c r="R127" s="2" t="inlineStr"/>
    </row>
    <row r="128" ht="15" customHeight="1">
      <c r="A128" t="inlineStr">
        <is>
          <t>A 42714-2022</t>
        </is>
      </c>
      <c r="B128" s="1" t="n">
        <v>44832</v>
      </c>
      <c r="C128" s="1" t="n">
        <v>45908</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35682-2022</t>
        </is>
      </c>
      <c r="B129" s="1" t="n">
        <v>44799.60422453703</v>
      </c>
      <c r="C129" s="1" t="n">
        <v>45908</v>
      </c>
      <c r="D129" t="inlineStr">
        <is>
          <t>VÄSTMANLANDS LÄN</t>
        </is>
      </c>
      <c r="E129" t="inlineStr">
        <is>
          <t>SURAHAMMAR</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11728-2023</t>
        </is>
      </c>
      <c r="B130" s="1" t="n">
        <v>44993</v>
      </c>
      <c r="C130" s="1" t="n">
        <v>45908</v>
      </c>
      <c r="D130" t="inlineStr">
        <is>
          <t>VÄSTMANLANDS LÄN</t>
        </is>
      </c>
      <c r="E130" t="inlineStr">
        <is>
          <t>SURAHAMMAR</t>
        </is>
      </c>
      <c r="F130" t="inlineStr">
        <is>
          <t>Bergvik skog väst AB</t>
        </is>
      </c>
      <c r="G130" t="n">
        <v>0.4</v>
      </c>
      <c r="H130" t="n">
        <v>0</v>
      </c>
      <c r="I130" t="n">
        <v>0</v>
      </c>
      <c r="J130" t="n">
        <v>0</v>
      </c>
      <c r="K130" t="n">
        <v>0</v>
      </c>
      <c r="L130" t="n">
        <v>0</v>
      </c>
      <c r="M130" t="n">
        <v>0</v>
      </c>
      <c r="N130" t="n">
        <v>0</v>
      </c>
      <c r="O130" t="n">
        <v>0</v>
      </c>
      <c r="P130" t="n">
        <v>0</v>
      </c>
      <c r="Q130" t="n">
        <v>0</v>
      </c>
      <c r="R130" s="2" t="inlineStr"/>
    </row>
    <row r="131" ht="15" customHeight="1">
      <c r="A131" t="inlineStr">
        <is>
          <t>A 5567-2022</t>
        </is>
      </c>
      <c r="B131" s="1" t="n">
        <v>44595</v>
      </c>
      <c r="C131" s="1" t="n">
        <v>45908</v>
      </c>
      <c r="D131" t="inlineStr">
        <is>
          <t>VÄSTMANLANDS LÄN</t>
        </is>
      </c>
      <c r="E131" t="inlineStr">
        <is>
          <t>SURAHAMMAR</t>
        </is>
      </c>
      <c r="G131" t="n">
        <v>1.3</v>
      </c>
      <c r="H131" t="n">
        <v>0</v>
      </c>
      <c r="I131" t="n">
        <v>0</v>
      </c>
      <c r="J131" t="n">
        <v>0</v>
      </c>
      <c r="K131" t="n">
        <v>0</v>
      </c>
      <c r="L131" t="n">
        <v>0</v>
      </c>
      <c r="M131" t="n">
        <v>0</v>
      </c>
      <c r="N131" t="n">
        <v>0</v>
      </c>
      <c r="O131" t="n">
        <v>0</v>
      </c>
      <c r="P131" t="n">
        <v>0</v>
      </c>
      <c r="Q131" t="n">
        <v>0</v>
      </c>
      <c r="R131" s="2" t="inlineStr"/>
    </row>
    <row r="132" ht="15" customHeight="1">
      <c r="A132" t="inlineStr">
        <is>
          <t>A 25417-2024</t>
        </is>
      </c>
      <c r="B132" s="1" t="n">
        <v>45463</v>
      </c>
      <c r="C132" s="1" t="n">
        <v>45908</v>
      </c>
      <c r="D132" t="inlineStr">
        <is>
          <t>VÄSTMANLANDS LÄN</t>
        </is>
      </c>
      <c r="E132" t="inlineStr">
        <is>
          <t>SURAHAMMAR</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42832-2022</t>
        </is>
      </c>
      <c r="B133" s="1" t="n">
        <v>44832</v>
      </c>
      <c r="C133" s="1" t="n">
        <v>45908</v>
      </c>
      <c r="D133" t="inlineStr">
        <is>
          <t>VÄSTMANLANDS LÄN</t>
        </is>
      </c>
      <c r="E133" t="inlineStr">
        <is>
          <t>SURAHAMMAR</t>
        </is>
      </c>
      <c r="G133" t="n">
        <v>1.1</v>
      </c>
      <c r="H133" t="n">
        <v>0</v>
      </c>
      <c r="I133" t="n">
        <v>0</v>
      </c>
      <c r="J133" t="n">
        <v>0</v>
      </c>
      <c r="K133" t="n">
        <v>0</v>
      </c>
      <c r="L133" t="n">
        <v>0</v>
      </c>
      <c r="M133" t="n">
        <v>0</v>
      </c>
      <c r="N133" t="n">
        <v>0</v>
      </c>
      <c r="O133" t="n">
        <v>0</v>
      </c>
      <c r="P133" t="n">
        <v>0</v>
      </c>
      <c r="Q133" t="n">
        <v>0</v>
      </c>
      <c r="R133" s="2" t="inlineStr"/>
    </row>
    <row r="134" ht="15" customHeight="1">
      <c r="A134" t="inlineStr">
        <is>
          <t>A 24665-2023</t>
        </is>
      </c>
      <c r="B134" s="1" t="n">
        <v>45084.48592592592</v>
      </c>
      <c r="C134" s="1" t="n">
        <v>45908</v>
      </c>
      <c r="D134" t="inlineStr">
        <is>
          <t>VÄSTMANLANDS LÄN</t>
        </is>
      </c>
      <c r="E134" t="inlineStr">
        <is>
          <t>SURAHAMMAR</t>
        </is>
      </c>
      <c r="G134" t="n">
        <v>0.9</v>
      </c>
      <c r="H134" t="n">
        <v>0</v>
      </c>
      <c r="I134" t="n">
        <v>0</v>
      </c>
      <c r="J134" t="n">
        <v>0</v>
      </c>
      <c r="K134" t="n">
        <v>0</v>
      </c>
      <c r="L134" t="n">
        <v>0</v>
      </c>
      <c r="M134" t="n">
        <v>0</v>
      </c>
      <c r="N134" t="n">
        <v>0</v>
      </c>
      <c r="O134" t="n">
        <v>0</v>
      </c>
      <c r="P134" t="n">
        <v>0</v>
      </c>
      <c r="Q134" t="n">
        <v>0</v>
      </c>
      <c r="R134" s="2" t="inlineStr"/>
    </row>
    <row r="135" ht="15" customHeight="1">
      <c r="A135" t="inlineStr">
        <is>
          <t>A 32808-2024</t>
        </is>
      </c>
      <c r="B135" s="1" t="n">
        <v>45516</v>
      </c>
      <c r="C135" s="1" t="n">
        <v>45908</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42841-2022</t>
        </is>
      </c>
      <c r="B136" s="1" t="n">
        <v>44832</v>
      </c>
      <c r="C136" s="1" t="n">
        <v>45908</v>
      </c>
      <c r="D136" t="inlineStr">
        <is>
          <t>VÄSTMANLANDS LÄN</t>
        </is>
      </c>
      <c r="E136" t="inlineStr">
        <is>
          <t>SURAHAMMAR</t>
        </is>
      </c>
      <c r="G136" t="n">
        <v>1.8</v>
      </c>
      <c r="H136" t="n">
        <v>0</v>
      </c>
      <c r="I136" t="n">
        <v>0</v>
      </c>
      <c r="J136" t="n">
        <v>0</v>
      </c>
      <c r="K136" t="n">
        <v>0</v>
      </c>
      <c r="L136" t="n">
        <v>0</v>
      </c>
      <c r="M136" t="n">
        <v>0</v>
      </c>
      <c r="N136" t="n">
        <v>0</v>
      </c>
      <c r="O136" t="n">
        <v>0</v>
      </c>
      <c r="P136" t="n">
        <v>0</v>
      </c>
      <c r="Q136" t="n">
        <v>0</v>
      </c>
      <c r="R136" s="2" t="inlineStr"/>
    </row>
    <row r="137" ht="15" customHeight="1">
      <c r="A137" t="inlineStr">
        <is>
          <t>A 42829-2022</t>
        </is>
      </c>
      <c r="B137" s="1" t="n">
        <v>44832</v>
      </c>
      <c r="C137" s="1" t="n">
        <v>45908</v>
      </c>
      <c r="D137" t="inlineStr">
        <is>
          <t>VÄSTMANLANDS LÄN</t>
        </is>
      </c>
      <c r="E137" t="inlineStr">
        <is>
          <t>SURAHAMMAR</t>
        </is>
      </c>
      <c r="G137" t="n">
        <v>1.6</v>
      </c>
      <c r="H137" t="n">
        <v>0</v>
      </c>
      <c r="I137" t="n">
        <v>0</v>
      </c>
      <c r="J137" t="n">
        <v>0</v>
      </c>
      <c r="K137" t="n">
        <v>0</v>
      </c>
      <c r="L137" t="n">
        <v>0</v>
      </c>
      <c r="M137" t="n">
        <v>0</v>
      </c>
      <c r="N137" t="n">
        <v>0</v>
      </c>
      <c r="O137" t="n">
        <v>0</v>
      </c>
      <c r="P137" t="n">
        <v>0</v>
      </c>
      <c r="Q137" t="n">
        <v>0</v>
      </c>
      <c r="R137" s="2" t="inlineStr"/>
    </row>
    <row r="138" ht="15" customHeight="1">
      <c r="A138" t="inlineStr">
        <is>
          <t>A 44358-2024</t>
        </is>
      </c>
      <c r="B138" s="1" t="n">
        <v>45573</v>
      </c>
      <c r="C138" s="1" t="n">
        <v>45908</v>
      </c>
      <c r="D138" t="inlineStr">
        <is>
          <t>VÄSTMANLANDS LÄN</t>
        </is>
      </c>
      <c r="E138" t="inlineStr">
        <is>
          <t>SURAHAMMAR</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44359-2024</t>
        </is>
      </c>
      <c r="B139" s="1" t="n">
        <v>45573</v>
      </c>
      <c r="C139" s="1" t="n">
        <v>45908</v>
      </c>
      <c r="D139" t="inlineStr">
        <is>
          <t>VÄSTMANLANDS LÄN</t>
        </is>
      </c>
      <c r="E139" t="inlineStr">
        <is>
          <t>SURAHAMMAR</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2867-2024</t>
        </is>
      </c>
      <c r="B140" s="1" t="n">
        <v>45315</v>
      </c>
      <c r="C140" s="1" t="n">
        <v>45908</v>
      </c>
      <c r="D140" t="inlineStr">
        <is>
          <t>VÄSTMANLANDS LÄN</t>
        </is>
      </c>
      <c r="E140" t="inlineStr">
        <is>
          <t>SURAHAMMAR</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21509-2024</t>
        </is>
      </c>
      <c r="B141" s="1" t="n">
        <v>45441</v>
      </c>
      <c r="C141" s="1" t="n">
        <v>45908</v>
      </c>
      <c r="D141" t="inlineStr">
        <is>
          <t>VÄSTMANLANDS LÄN</t>
        </is>
      </c>
      <c r="E141" t="inlineStr">
        <is>
          <t>SURAHAMMAR</t>
        </is>
      </c>
      <c r="F141" t="inlineStr">
        <is>
          <t>Bergvik skog väst AB</t>
        </is>
      </c>
      <c r="G141" t="n">
        <v>3.9</v>
      </c>
      <c r="H141" t="n">
        <v>0</v>
      </c>
      <c r="I141" t="n">
        <v>0</v>
      </c>
      <c r="J141" t="n">
        <v>0</v>
      </c>
      <c r="K141" t="n">
        <v>0</v>
      </c>
      <c r="L141" t="n">
        <v>0</v>
      </c>
      <c r="M141" t="n">
        <v>0</v>
      </c>
      <c r="N141" t="n">
        <v>0</v>
      </c>
      <c r="O141" t="n">
        <v>0</v>
      </c>
      <c r="P141" t="n">
        <v>0</v>
      </c>
      <c r="Q141" t="n">
        <v>0</v>
      </c>
      <c r="R141" s="2" t="inlineStr"/>
    </row>
    <row r="142" ht="15" customHeight="1">
      <c r="A142" t="inlineStr">
        <is>
          <t>A 22662-2023</t>
        </is>
      </c>
      <c r="B142" s="1" t="n">
        <v>45071</v>
      </c>
      <c r="C142" s="1" t="n">
        <v>45908</v>
      </c>
      <c r="D142" t="inlineStr">
        <is>
          <t>VÄSTMANLANDS LÄN</t>
        </is>
      </c>
      <c r="E142" t="inlineStr">
        <is>
          <t>SURAHAMMAR</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16013-2023</t>
        </is>
      </c>
      <c r="B143" s="1" t="n">
        <v>45026</v>
      </c>
      <c r="C143" s="1" t="n">
        <v>45908</v>
      </c>
      <c r="D143" t="inlineStr">
        <is>
          <t>VÄSTMANLANDS LÄN</t>
        </is>
      </c>
      <c r="E143" t="inlineStr">
        <is>
          <t>SURAHAMMAR</t>
        </is>
      </c>
      <c r="G143" t="n">
        <v>3.9</v>
      </c>
      <c r="H143" t="n">
        <v>0</v>
      </c>
      <c r="I143" t="n">
        <v>0</v>
      </c>
      <c r="J143" t="n">
        <v>0</v>
      </c>
      <c r="K143" t="n">
        <v>0</v>
      </c>
      <c r="L143" t="n">
        <v>0</v>
      </c>
      <c r="M143" t="n">
        <v>0</v>
      </c>
      <c r="N143" t="n">
        <v>0</v>
      </c>
      <c r="O143" t="n">
        <v>0</v>
      </c>
      <c r="P143" t="n">
        <v>0</v>
      </c>
      <c r="Q143" t="n">
        <v>0</v>
      </c>
      <c r="R143" s="2" t="inlineStr"/>
    </row>
    <row r="144" ht="15" customHeight="1">
      <c r="A144" t="inlineStr">
        <is>
          <t>A 3085-2023</t>
        </is>
      </c>
      <c r="B144" s="1" t="n">
        <v>44946</v>
      </c>
      <c r="C144" s="1" t="n">
        <v>45908</v>
      </c>
      <c r="D144" t="inlineStr">
        <is>
          <t>VÄSTMANLANDS LÄN</t>
        </is>
      </c>
      <c r="E144" t="inlineStr">
        <is>
          <t>SURAHAMMAR</t>
        </is>
      </c>
      <c r="F144" t="inlineStr">
        <is>
          <t>Kyrkan</t>
        </is>
      </c>
      <c r="G144" t="n">
        <v>13</v>
      </c>
      <c r="H144" t="n">
        <v>0</v>
      </c>
      <c r="I144" t="n">
        <v>0</v>
      </c>
      <c r="J144" t="n">
        <v>0</v>
      </c>
      <c r="K144" t="n">
        <v>0</v>
      </c>
      <c r="L144" t="n">
        <v>0</v>
      </c>
      <c r="M144" t="n">
        <v>0</v>
      </c>
      <c r="N144" t="n">
        <v>0</v>
      </c>
      <c r="O144" t="n">
        <v>0</v>
      </c>
      <c r="P144" t="n">
        <v>0</v>
      </c>
      <c r="Q144" t="n">
        <v>0</v>
      </c>
      <c r="R144" s="2" t="inlineStr"/>
    </row>
    <row r="145" ht="15" customHeight="1">
      <c r="A145" t="inlineStr">
        <is>
          <t>A 41555-2022</t>
        </is>
      </c>
      <c r="B145" s="1" t="n">
        <v>44826</v>
      </c>
      <c r="C145" s="1" t="n">
        <v>45908</v>
      </c>
      <c r="D145" t="inlineStr">
        <is>
          <t>VÄSTMANLANDS LÄN</t>
        </is>
      </c>
      <c r="E145" t="inlineStr">
        <is>
          <t>SURAHAMMAR</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49058-2024</t>
        </is>
      </c>
      <c r="B146" s="1" t="n">
        <v>45594</v>
      </c>
      <c r="C146" s="1" t="n">
        <v>45908</v>
      </c>
      <c r="D146" t="inlineStr">
        <is>
          <t>VÄSTMANLANDS LÄN</t>
        </is>
      </c>
      <c r="E146" t="inlineStr">
        <is>
          <t>SURAHAMMAR</t>
        </is>
      </c>
      <c r="F146" t="inlineStr">
        <is>
          <t>Sveaskog</t>
        </is>
      </c>
      <c r="G146" t="n">
        <v>11.4</v>
      </c>
      <c r="H146" t="n">
        <v>0</v>
      </c>
      <c r="I146" t="n">
        <v>0</v>
      </c>
      <c r="J146" t="n">
        <v>0</v>
      </c>
      <c r="K146" t="n">
        <v>0</v>
      </c>
      <c r="L146" t="n">
        <v>0</v>
      </c>
      <c r="M146" t="n">
        <v>0</v>
      </c>
      <c r="N146" t="n">
        <v>0</v>
      </c>
      <c r="O146" t="n">
        <v>0</v>
      </c>
      <c r="P146" t="n">
        <v>0</v>
      </c>
      <c r="Q146" t="n">
        <v>0</v>
      </c>
      <c r="R146" s="2" t="inlineStr"/>
    </row>
    <row r="147" ht="15" customHeight="1">
      <c r="A147" t="inlineStr">
        <is>
          <t>A 49060-2024</t>
        </is>
      </c>
      <c r="B147" s="1" t="n">
        <v>45594</v>
      </c>
      <c r="C147" s="1" t="n">
        <v>45908</v>
      </c>
      <c r="D147" t="inlineStr">
        <is>
          <t>VÄSTMANLANDS LÄN</t>
        </is>
      </c>
      <c r="E147" t="inlineStr">
        <is>
          <t>SURAHAMMAR</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25780-2023</t>
        </is>
      </c>
      <c r="B148" s="1" t="n">
        <v>45090.47523148148</v>
      </c>
      <c r="C148" s="1" t="n">
        <v>45908</v>
      </c>
      <c r="D148" t="inlineStr">
        <is>
          <t>VÄSTMANLANDS LÄN</t>
        </is>
      </c>
      <c r="E148" t="inlineStr">
        <is>
          <t>SURAHAMMAR</t>
        </is>
      </c>
      <c r="G148" t="n">
        <v>2.8</v>
      </c>
      <c r="H148" t="n">
        <v>0</v>
      </c>
      <c r="I148" t="n">
        <v>0</v>
      </c>
      <c r="J148" t="n">
        <v>0</v>
      </c>
      <c r="K148" t="n">
        <v>0</v>
      </c>
      <c r="L148" t="n">
        <v>0</v>
      </c>
      <c r="M148" t="n">
        <v>0</v>
      </c>
      <c r="N148" t="n">
        <v>0</v>
      </c>
      <c r="O148" t="n">
        <v>0</v>
      </c>
      <c r="P148" t="n">
        <v>0</v>
      </c>
      <c r="Q148" t="n">
        <v>0</v>
      </c>
      <c r="R148" s="2" t="inlineStr"/>
    </row>
    <row r="149" ht="15" customHeight="1">
      <c r="A149" t="inlineStr">
        <is>
          <t>A 34955-2022</t>
        </is>
      </c>
      <c r="B149" s="1" t="n">
        <v>44796</v>
      </c>
      <c r="C149" s="1" t="n">
        <v>45908</v>
      </c>
      <c r="D149" t="inlineStr">
        <is>
          <t>VÄSTMANLANDS LÄN</t>
        </is>
      </c>
      <c r="E149" t="inlineStr">
        <is>
          <t>SURAHAMMAR</t>
        </is>
      </c>
      <c r="F149" t="inlineStr">
        <is>
          <t>Sveaskog</t>
        </is>
      </c>
      <c r="G149" t="n">
        <v>4.6</v>
      </c>
      <c r="H149" t="n">
        <v>0</v>
      </c>
      <c r="I149" t="n">
        <v>0</v>
      </c>
      <c r="J149" t="n">
        <v>0</v>
      </c>
      <c r="K149" t="n">
        <v>0</v>
      </c>
      <c r="L149" t="n">
        <v>0</v>
      </c>
      <c r="M149" t="n">
        <v>0</v>
      </c>
      <c r="N149" t="n">
        <v>0</v>
      </c>
      <c r="O149" t="n">
        <v>0</v>
      </c>
      <c r="P149" t="n">
        <v>0</v>
      </c>
      <c r="Q149" t="n">
        <v>0</v>
      </c>
      <c r="R149" s="2" t="inlineStr"/>
    </row>
    <row r="150" ht="15" customHeight="1">
      <c r="A150" t="inlineStr">
        <is>
          <t>A 13386-2025</t>
        </is>
      </c>
      <c r="B150" s="1" t="n">
        <v>45735</v>
      </c>
      <c r="C150" s="1" t="n">
        <v>45908</v>
      </c>
      <c r="D150" t="inlineStr">
        <is>
          <t>VÄSTMANLANDS LÄN</t>
        </is>
      </c>
      <c r="E150" t="inlineStr">
        <is>
          <t>SURAHAMMAR</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20904-2023</t>
        </is>
      </c>
      <c r="B151" s="1" t="n">
        <v>45060</v>
      </c>
      <c r="C151" s="1" t="n">
        <v>45908</v>
      </c>
      <c r="D151" t="inlineStr">
        <is>
          <t>VÄSTMANLANDS LÄN</t>
        </is>
      </c>
      <c r="E151" t="inlineStr">
        <is>
          <t>SURAHAMMAR</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10883-2023</t>
        </is>
      </c>
      <c r="B152" s="1" t="n">
        <v>44991</v>
      </c>
      <c r="C152" s="1" t="n">
        <v>45908</v>
      </c>
      <c r="D152" t="inlineStr">
        <is>
          <t>VÄSTMANLANDS LÄN</t>
        </is>
      </c>
      <c r="E152" t="inlineStr">
        <is>
          <t>SURAHAMMAR</t>
        </is>
      </c>
      <c r="F152" t="inlineStr">
        <is>
          <t>Övriga Aktiebolag</t>
        </is>
      </c>
      <c r="G152" t="n">
        <v>12.5</v>
      </c>
      <c r="H152" t="n">
        <v>0</v>
      </c>
      <c r="I152" t="n">
        <v>0</v>
      </c>
      <c r="J152" t="n">
        <v>0</v>
      </c>
      <c r="K152" t="n">
        <v>0</v>
      </c>
      <c r="L152" t="n">
        <v>0</v>
      </c>
      <c r="M152" t="n">
        <v>0</v>
      </c>
      <c r="N152" t="n">
        <v>0</v>
      </c>
      <c r="O152" t="n">
        <v>0</v>
      </c>
      <c r="P152" t="n">
        <v>0</v>
      </c>
      <c r="Q152" t="n">
        <v>0</v>
      </c>
      <c r="R152" s="2" t="inlineStr"/>
    </row>
    <row r="153">
      <c r="A153" t="inlineStr">
        <is>
          <t>A 2660-2024</t>
        </is>
      </c>
      <c r="B153" s="1" t="n">
        <v>45310</v>
      </c>
      <c r="C153" s="1" t="n">
        <v>45908</v>
      </c>
      <c r="D153" t="inlineStr">
        <is>
          <t>VÄSTMANLANDS LÄN</t>
        </is>
      </c>
      <c r="E153" t="inlineStr">
        <is>
          <t>SURAHAMMAR</t>
        </is>
      </c>
      <c r="G153" t="n">
        <v>2.1</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2025-09-08T09:00:05Z</dcterms:created>
  <dcterms:modified xmlns:dcterms="http://purl.org/dc/terms/" xmlns:xsi="http://www.w3.org/2001/XMLSchema-instance" xsi:type="dcterms:W3CDTF">2025-09-08T09:00:05Z</dcterms:modified>
</cp:coreProperties>
</file>