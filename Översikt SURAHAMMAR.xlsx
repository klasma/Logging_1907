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46127</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46127</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46127</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46127</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46127</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46127</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46127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46127</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46127</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46127</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46127</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46127</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46127</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46127</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46127</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46127</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46127</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39594-2025</t>
        </is>
      </c>
      <c r="B19" s="1" t="n">
        <v>45890</v>
      </c>
      <c r="C19" s="1" t="n">
        <v>46127</v>
      </c>
      <c r="D19" t="inlineStr">
        <is>
          <t>VÄSTMANLANDS LÄN</t>
        </is>
      </c>
      <c r="E19" t="inlineStr">
        <is>
          <t>SURAHAMMAR</t>
        </is>
      </c>
      <c r="F19" t="inlineStr">
        <is>
          <t>Bergvik skog väst AB</t>
        </is>
      </c>
      <c r="G19" t="n">
        <v>7</v>
      </c>
      <c r="H19" t="n">
        <v>1</v>
      </c>
      <c r="I19" t="n">
        <v>4</v>
      </c>
      <c r="J19" t="n">
        <v>2</v>
      </c>
      <c r="K19" t="n">
        <v>0</v>
      </c>
      <c r="L19" t="n">
        <v>0</v>
      </c>
      <c r="M19" t="n">
        <v>0</v>
      </c>
      <c r="N19" t="n">
        <v>0</v>
      </c>
      <c r="O19" t="n">
        <v>2</v>
      </c>
      <c r="P19" t="n">
        <v>0</v>
      </c>
      <c r="Q19" t="n">
        <v>6</v>
      </c>
      <c r="R19" s="2" t="inlineStr">
        <is>
          <t>Gropticka
Talltita
Bronshjon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7791-2024</t>
        </is>
      </c>
      <c r="B20" s="1" t="n">
        <v>45348</v>
      </c>
      <c r="C20" s="1" t="n">
        <v>46127</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46127</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46127</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46127</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65024-2023</t>
        </is>
      </c>
      <c r="B24" s="1" t="n">
        <v>45282</v>
      </c>
      <c r="C24" s="1" t="n">
        <v>46127</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46127</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42853-2022</t>
        </is>
      </c>
      <c r="B26" s="1" t="n">
        <v>44832</v>
      </c>
      <c r="C26" s="1" t="n">
        <v>46127</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10236-2026</t>
        </is>
      </c>
      <c r="B27" s="1" t="n">
        <v>46076.54277777778</v>
      </c>
      <c r="C27" s="1" t="n">
        <v>46127</v>
      </c>
      <c r="D27" t="inlineStr">
        <is>
          <t>VÄSTMANLANDS LÄN</t>
        </is>
      </c>
      <c r="E27" t="inlineStr">
        <is>
          <t>SURAHAMMAR</t>
        </is>
      </c>
      <c r="F27" t="inlineStr">
        <is>
          <t>Allmännings- och besparingsskogar</t>
        </is>
      </c>
      <c r="G27" t="n">
        <v>2.8</v>
      </c>
      <c r="H27" t="n">
        <v>2</v>
      </c>
      <c r="I27" t="n">
        <v>1</v>
      </c>
      <c r="J27" t="n">
        <v>0</v>
      </c>
      <c r="K27" t="n">
        <v>1</v>
      </c>
      <c r="L27" t="n">
        <v>0</v>
      </c>
      <c r="M27" t="n">
        <v>0</v>
      </c>
      <c r="N27" t="n">
        <v>0</v>
      </c>
      <c r="O27" t="n">
        <v>1</v>
      </c>
      <c r="P27" t="n">
        <v>1</v>
      </c>
      <c r="Q27" t="n">
        <v>4</v>
      </c>
      <c r="R27" s="2" t="inlineStr">
        <is>
          <t>Vågticka
Brandticka
Lopplummer (aggregat)
Revlummer</t>
        </is>
      </c>
      <c r="S27">
        <f>HYPERLINK("https://klasma.github.io/Logging_1907/artfynd/A 10236-2026 artfynd.xlsx", "A 10236-2026")</f>
        <v/>
      </c>
      <c r="T27">
        <f>HYPERLINK("https://klasma.github.io/Logging_1907/kartor/A 10236-2026 karta.png", "A 10236-2026")</f>
        <v/>
      </c>
      <c r="V27">
        <f>HYPERLINK("https://klasma.github.io/Logging_1907/klagomål/A 10236-2026 FSC-klagomål.docx", "A 10236-2026")</f>
        <v/>
      </c>
      <c r="W27">
        <f>HYPERLINK("https://klasma.github.io/Logging_1907/klagomålsmail/A 10236-2026 FSC-klagomål mail.docx", "A 10236-2026")</f>
        <v/>
      </c>
      <c r="X27">
        <f>HYPERLINK("https://klasma.github.io/Logging_1907/tillsyn/A 10236-2026 tillsynsbegäran.docx", "A 10236-2026")</f>
        <v/>
      </c>
      <c r="Y27">
        <f>HYPERLINK("https://klasma.github.io/Logging_1907/tillsynsmail/A 10236-2026 tillsynsbegäran mail.docx", "A 10236-2026")</f>
        <v/>
      </c>
    </row>
    <row r="28" ht="15" customHeight="1">
      <c r="A28" t="inlineStr">
        <is>
          <t>A 21716-2025</t>
        </is>
      </c>
      <c r="B28" s="1" t="n">
        <v>45783.54804398148</v>
      </c>
      <c r="C28" s="1" t="n">
        <v>46127</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25548-2024</t>
        </is>
      </c>
      <c r="B29" s="1" t="n">
        <v>45463</v>
      </c>
      <c r="C29" s="1" t="n">
        <v>46127</v>
      </c>
      <c r="D29" t="inlineStr">
        <is>
          <t>VÄSTMANLANDS LÄN</t>
        </is>
      </c>
      <c r="E29" t="inlineStr">
        <is>
          <t>SURAHAMMAR</t>
        </is>
      </c>
      <c r="F29" t="inlineStr">
        <is>
          <t>Bergvik skog väst AB</t>
        </is>
      </c>
      <c r="G29" t="n">
        <v>5.1</v>
      </c>
      <c r="H29" t="n">
        <v>3</v>
      </c>
      <c r="I29" t="n">
        <v>1</v>
      </c>
      <c r="J29" t="n">
        <v>0</v>
      </c>
      <c r="K29" t="n">
        <v>1</v>
      </c>
      <c r="L29" t="n">
        <v>0</v>
      </c>
      <c r="M29" t="n">
        <v>0</v>
      </c>
      <c r="N29" t="n">
        <v>0</v>
      </c>
      <c r="O29" t="n">
        <v>1</v>
      </c>
      <c r="P29" t="n">
        <v>1</v>
      </c>
      <c r="Q29" t="n">
        <v>4</v>
      </c>
      <c r="R29" s="2" t="inlineStr">
        <is>
          <t>Knärot
Vedticka
Fläcknycklar
Nattviol</t>
        </is>
      </c>
      <c r="S29">
        <f>HYPERLINK("https://klasma.github.io/Logging_1907/artfynd/A 25548-2024 artfynd.xlsx", "A 25548-2024")</f>
        <v/>
      </c>
      <c r="T29">
        <f>HYPERLINK("https://klasma.github.io/Logging_1907/kartor/A 25548-2024 karta.png", "A 25548-2024")</f>
        <v/>
      </c>
      <c r="U29">
        <f>HYPERLINK("https://klasma.github.io/Logging_1907/knärot/A 25548-2024 karta knärot.png", "A 25548-2024")</f>
        <v/>
      </c>
      <c r="V29">
        <f>HYPERLINK("https://klasma.github.io/Logging_1907/klagomål/A 25548-2024 FSC-klagomål.docx", "A 25548-2024")</f>
        <v/>
      </c>
      <c r="W29">
        <f>HYPERLINK("https://klasma.github.io/Logging_1907/klagomålsmail/A 25548-2024 FSC-klagomål mail.docx", "A 25548-2024")</f>
        <v/>
      </c>
      <c r="X29">
        <f>HYPERLINK("https://klasma.github.io/Logging_1907/tillsyn/A 25548-2024 tillsynsbegäran.docx", "A 25548-2024")</f>
        <v/>
      </c>
      <c r="Y29">
        <f>HYPERLINK("https://klasma.github.io/Logging_1907/tillsynsmail/A 25548-2024 tillsynsbegäran mail.docx", "A 25548-2024")</f>
        <v/>
      </c>
    </row>
    <row r="30" ht="15" customHeight="1">
      <c r="A30" t="inlineStr">
        <is>
          <t>A 48128-2023</t>
        </is>
      </c>
      <c r="B30" s="1" t="n">
        <v>45205</v>
      </c>
      <c r="C30" s="1" t="n">
        <v>46127</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42860-2022</t>
        </is>
      </c>
      <c r="B31" s="1" t="n">
        <v>44832</v>
      </c>
      <c r="C31" s="1" t="n">
        <v>46127</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42708-2022</t>
        </is>
      </c>
      <c r="B32" s="1" t="n">
        <v>44832</v>
      </c>
      <c r="C32" s="1" t="n">
        <v>46127</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39694-2025</t>
        </is>
      </c>
      <c r="B33" s="1" t="n">
        <v>45890</v>
      </c>
      <c r="C33" s="1" t="n">
        <v>46127</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29707-2025</t>
        </is>
      </c>
      <c r="B34" s="1" t="n">
        <v>45825.56100694444</v>
      </c>
      <c r="C34" s="1" t="n">
        <v>46127</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8552-2022</t>
        </is>
      </c>
      <c r="B35" s="1" t="n">
        <v>44613</v>
      </c>
      <c r="C35" s="1" t="n">
        <v>46127</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49718-2023</t>
        </is>
      </c>
      <c r="B36" s="1" t="n">
        <v>45212</v>
      </c>
      <c r="C36" s="1" t="n">
        <v>46127</v>
      </c>
      <c r="D36" t="inlineStr">
        <is>
          <t>VÄSTMANLANDS LÄN</t>
        </is>
      </c>
      <c r="E36" t="inlineStr">
        <is>
          <t>SURAHAMMAR</t>
        </is>
      </c>
      <c r="G36" t="n">
        <v>3.4</v>
      </c>
      <c r="H36" t="n">
        <v>1</v>
      </c>
      <c r="I36" t="n">
        <v>1</v>
      </c>
      <c r="J36" t="n">
        <v>2</v>
      </c>
      <c r="K36" t="n">
        <v>0</v>
      </c>
      <c r="L36" t="n">
        <v>0</v>
      </c>
      <c r="M36" t="n">
        <v>0</v>
      </c>
      <c r="N36" t="n">
        <v>0</v>
      </c>
      <c r="O36" t="n">
        <v>2</v>
      </c>
      <c r="P36" t="n">
        <v>0</v>
      </c>
      <c r="Q36" t="n">
        <v>3</v>
      </c>
      <c r="R36" s="2" t="inlineStr">
        <is>
          <t>Motaggsvamp
Talltita
Zontaggsvamp</t>
        </is>
      </c>
      <c r="S36">
        <f>HYPERLINK("https://klasma.github.io/Logging_1907/artfynd/A 49718-2023 artfynd.xlsx", "A 49718-2023")</f>
        <v/>
      </c>
      <c r="T36">
        <f>HYPERLINK("https://klasma.github.io/Logging_1907/kartor/A 49718-2023 karta.png", "A 49718-2023")</f>
        <v/>
      </c>
      <c r="V36">
        <f>HYPERLINK("https://klasma.github.io/Logging_1907/klagomål/A 49718-2023 FSC-klagomål.docx", "A 49718-2023")</f>
        <v/>
      </c>
      <c r="W36">
        <f>HYPERLINK("https://klasma.github.io/Logging_1907/klagomålsmail/A 49718-2023 FSC-klagomål mail.docx", "A 49718-2023")</f>
        <v/>
      </c>
      <c r="X36">
        <f>HYPERLINK("https://klasma.github.io/Logging_1907/tillsyn/A 49718-2023 tillsynsbegäran.docx", "A 49718-2023")</f>
        <v/>
      </c>
      <c r="Y36">
        <f>HYPERLINK("https://klasma.github.io/Logging_1907/tillsynsmail/A 49718-2023 tillsynsbegäran mail.docx", "A 49718-2023")</f>
        <v/>
      </c>
      <c r="Z36">
        <f>HYPERLINK("https://klasma.github.io/Logging_1907/fåglar/A 49718-2023 prioriterade fågelarter.docx", "A 49718-2023")</f>
        <v/>
      </c>
    </row>
    <row r="37" ht="15" customHeight="1">
      <c r="A37" t="inlineStr">
        <is>
          <t>A 20391-2024</t>
        </is>
      </c>
      <c r="B37" s="1" t="n">
        <v>45435</v>
      </c>
      <c r="C37" s="1" t="n">
        <v>46127</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4082-2025</t>
        </is>
      </c>
      <c r="B38" s="1" t="n">
        <v>45684</v>
      </c>
      <c r="C38" s="1" t="n">
        <v>46127</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46127</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46127</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46127</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18717-2021</t>
        </is>
      </c>
      <c r="B42" s="1" t="n">
        <v>44306</v>
      </c>
      <c r="C42" s="1" t="n">
        <v>46127</v>
      </c>
      <c r="D42" t="inlineStr">
        <is>
          <t>VÄSTMANLANDS LÄN</t>
        </is>
      </c>
      <c r="E42" t="inlineStr">
        <is>
          <t>SURAHAMMAR</t>
        </is>
      </c>
      <c r="F42" t="inlineStr">
        <is>
          <t>Bergvik skog väst AB</t>
        </is>
      </c>
      <c r="G42" t="n">
        <v>18</v>
      </c>
      <c r="H42" t="n">
        <v>2</v>
      </c>
      <c r="I42" t="n">
        <v>0</v>
      </c>
      <c r="J42" t="n">
        <v>0</v>
      </c>
      <c r="K42" t="n">
        <v>0</v>
      </c>
      <c r="L42" t="n">
        <v>0</v>
      </c>
      <c r="M42" t="n">
        <v>0</v>
      </c>
      <c r="N42" t="n">
        <v>0</v>
      </c>
      <c r="O42" t="n">
        <v>0</v>
      </c>
      <c r="P42" t="n">
        <v>0</v>
      </c>
      <c r="Q42" t="n">
        <v>2</v>
      </c>
      <c r="R42" s="2" t="inlineStr">
        <is>
          <t>Lopplummer (aggregat)
Revlummer</t>
        </is>
      </c>
      <c r="S42">
        <f>HYPERLINK("https://klasma.github.io/Logging_1907/artfynd/A 18717-2021 artfynd.xlsx", "A 18717-2021")</f>
        <v/>
      </c>
      <c r="T42">
        <f>HYPERLINK("https://klasma.github.io/Logging_1907/kartor/A 18717-2021 karta.png", "A 18717-2021")</f>
        <v/>
      </c>
      <c r="V42">
        <f>HYPERLINK("https://klasma.github.io/Logging_1907/klagomål/A 18717-2021 FSC-klagomål.docx", "A 18717-2021")</f>
        <v/>
      </c>
      <c r="W42">
        <f>HYPERLINK("https://klasma.github.io/Logging_1907/klagomålsmail/A 18717-2021 FSC-klagomål mail.docx", "A 18717-2021")</f>
        <v/>
      </c>
      <c r="X42">
        <f>HYPERLINK("https://klasma.github.io/Logging_1907/tillsyn/A 18717-2021 tillsynsbegäran.docx", "A 18717-2021")</f>
        <v/>
      </c>
      <c r="Y42">
        <f>HYPERLINK("https://klasma.github.io/Logging_1907/tillsynsmail/A 18717-2021 tillsynsbegäran mail.docx", "A 18717-2021")</f>
        <v/>
      </c>
    </row>
    <row r="43" ht="15" customHeight="1">
      <c r="A43" t="inlineStr">
        <is>
          <t>A 40403-2025</t>
        </is>
      </c>
      <c r="B43" s="1" t="n">
        <v>45895</v>
      </c>
      <c r="C43" s="1" t="n">
        <v>46127</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41576-2022</t>
        </is>
      </c>
      <c r="B44" s="1" t="n">
        <v>44826</v>
      </c>
      <c r="C44" s="1" t="n">
        <v>46127</v>
      </c>
      <c r="D44" t="inlineStr">
        <is>
          <t>VÄSTMANLANDS LÄN</t>
        </is>
      </c>
      <c r="E44" t="inlineStr">
        <is>
          <t>SURAHAMMAR</t>
        </is>
      </c>
      <c r="F44" t="inlineStr">
        <is>
          <t>Bergvik skog väst AB</t>
        </is>
      </c>
      <c r="G44" t="n">
        <v>6.4</v>
      </c>
      <c r="H44" t="n">
        <v>2</v>
      </c>
      <c r="I44" t="n">
        <v>0</v>
      </c>
      <c r="J44" t="n">
        <v>1</v>
      </c>
      <c r="K44" t="n">
        <v>0</v>
      </c>
      <c r="L44" t="n">
        <v>0</v>
      </c>
      <c r="M44" t="n">
        <v>0</v>
      </c>
      <c r="N44" t="n">
        <v>0</v>
      </c>
      <c r="O44" t="n">
        <v>1</v>
      </c>
      <c r="P44" t="n">
        <v>0</v>
      </c>
      <c r="Q44" t="n">
        <v>2</v>
      </c>
      <c r="R44" s="2" t="inlineStr">
        <is>
          <t>Talltita
Kungsfågel</t>
        </is>
      </c>
      <c r="S44">
        <f>HYPERLINK("https://klasma.github.io/Logging_1907/artfynd/A 41576-2022 artfynd.xlsx", "A 41576-2022")</f>
        <v/>
      </c>
      <c r="T44">
        <f>HYPERLINK("https://klasma.github.io/Logging_1907/kartor/A 41576-2022 karta.png", "A 41576-2022")</f>
        <v/>
      </c>
      <c r="V44">
        <f>HYPERLINK("https://klasma.github.io/Logging_1907/klagomål/A 41576-2022 FSC-klagomål.docx", "A 41576-2022")</f>
        <v/>
      </c>
      <c r="W44">
        <f>HYPERLINK("https://klasma.github.io/Logging_1907/klagomålsmail/A 41576-2022 FSC-klagomål mail.docx", "A 41576-2022")</f>
        <v/>
      </c>
      <c r="X44">
        <f>HYPERLINK("https://klasma.github.io/Logging_1907/tillsyn/A 41576-2022 tillsynsbegäran.docx", "A 41576-2022")</f>
        <v/>
      </c>
      <c r="Y44">
        <f>HYPERLINK("https://klasma.github.io/Logging_1907/tillsynsmail/A 41576-2022 tillsynsbegäran mail.docx", "A 41576-2022")</f>
        <v/>
      </c>
      <c r="Z44">
        <f>HYPERLINK("https://klasma.github.io/Logging_1907/fåglar/A 41576-2022 prioriterade fågelarter.docx", "A 41576-2022")</f>
        <v/>
      </c>
    </row>
    <row r="45" ht="15" customHeight="1">
      <c r="A45" t="inlineStr">
        <is>
          <t>A 62097-2024</t>
        </is>
      </c>
      <c r="B45" s="1" t="n">
        <v>45646</v>
      </c>
      <c r="C45" s="1" t="n">
        <v>46127</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63146-2025</t>
        </is>
      </c>
      <c r="B46" s="1" t="n">
        <v>46009</v>
      </c>
      <c r="C46" s="1" t="n">
        <v>46127</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37800-2021</t>
        </is>
      </c>
      <c r="B47" s="1" t="n">
        <v>44402</v>
      </c>
      <c r="C47" s="1" t="n">
        <v>46127</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41204-2023</t>
        </is>
      </c>
      <c r="B48" s="1" t="n">
        <v>45174</v>
      </c>
      <c r="C48" s="1" t="n">
        <v>46127</v>
      </c>
      <c r="D48" t="inlineStr">
        <is>
          <t>VÄSTMANLANDS LÄN</t>
        </is>
      </c>
      <c r="E48" t="inlineStr">
        <is>
          <t>SURAHAMMAR</t>
        </is>
      </c>
      <c r="G48" t="n">
        <v>1</v>
      </c>
      <c r="H48" t="n">
        <v>1</v>
      </c>
      <c r="I48" t="n">
        <v>0</v>
      </c>
      <c r="J48" t="n">
        <v>1</v>
      </c>
      <c r="K48" t="n">
        <v>1</v>
      </c>
      <c r="L48" t="n">
        <v>0</v>
      </c>
      <c r="M48" t="n">
        <v>0</v>
      </c>
      <c r="N48" t="n">
        <v>0</v>
      </c>
      <c r="O48" t="n">
        <v>2</v>
      </c>
      <c r="P48" t="n">
        <v>1</v>
      </c>
      <c r="Q48" t="n">
        <v>2</v>
      </c>
      <c r="R48" s="2" t="inlineStr">
        <is>
          <t>Knärot
Vedtrappmossa</t>
        </is>
      </c>
      <c r="S48">
        <f>HYPERLINK("https://klasma.github.io/Logging_1907/artfynd/A 41204-2023 artfynd.xlsx", "A 41204-2023")</f>
        <v/>
      </c>
      <c r="T48">
        <f>HYPERLINK("https://klasma.github.io/Logging_1907/kartor/A 41204-2023 karta.png", "A 41204-2023")</f>
        <v/>
      </c>
      <c r="U48">
        <f>HYPERLINK("https://klasma.github.io/Logging_1907/knärot/A 41204-2023 karta knärot.png", "A 41204-2023")</f>
        <v/>
      </c>
      <c r="V48">
        <f>HYPERLINK("https://klasma.github.io/Logging_1907/klagomål/A 41204-2023 FSC-klagomål.docx", "A 41204-2023")</f>
        <v/>
      </c>
      <c r="W48">
        <f>HYPERLINK("https://klasma.github.io/Logging_1907/klagomålsmail/A 41204-2023 FSC-klagomål mail.docx", "A 41204-2023")</f>
        <v/>
      </c>
      <c r="X48">
        <f>HYPERLINK("https://klasma.github.io/Logging_1907/tillsyn/A 41204-2023 tillsynsbegäran.docx", "A 41204-2023")</f>
        <v/>
      </c>
      <c r="Y48">
        <f>HYPERLINK("https://klasma.github.io/Logging_1907/tillsynsmail/A 41204-2023 tillsynsbegäran mail.docx", "A 41204-2023")</f>
        <v/>
      </c>
    </row>
    <row r="49" ht="15" customHeight="1">
      <c r="A49" t="inlineStr">
        <is>
          <t>A 21618-2025</t>
        </is>
      </c>
      <c r="B49" s="1" t="n">
        <v>45783</v>
      </c>
      <c r="C49" s="1" t="n">
        <v>46127</v>
      </c>
      <c r="D49" t="inlineStr">
        <is>
          <t>VÄSTMANLANDS LÄN</t>
        </is>
      </c>
      <c r="E49" t="inlineStr">
        <is>
          <t>SURAHAMMAR</t>
        </is>
      </c>
      <c r="F49" t="inlineStr">
        <is>
          <t>Bergvik skog väst AB</t>
        </is>
      </c>
      <c r="G49" t="n">
        <v>1.1</v>
      </c>
      <c r="H49" t="n">
        <v>2</v>
      </c>
      <c r="I49" t="n">
        <v>1</v>
      </c>
      <c r="J49" t="n">
        <v>0</v>
      </c>
      <c r="K49" t="n">
        <v>0</v>
      </c>
      <c r="L49" t="n">
        <v>0</v>
      </c>
      <c r="M49" t="n">
        <v>0</v>
      </c>
      <c r="N49" t="n">
        <v>0</v>
      </c>
      <c r="O49" t="n">
        <v>0</v>
      </c>
      <c r="P49" t="n">
        <v>0</v>
      </c>
      <c r="Q49" t="n">
        <v>2</v>
      </c>
      <c r="R49" s="2" t="inlineStr">
        <is>
          <t>Plattlummer
Mattlummer</t>
        </is>
      </c>
      <c r="S49">
        <f>HYPERLINK("https://klasma.github.io/Logging_1907/artfynd/A 21618-2025 artfynd.xlsx", "A 21618-2025")</f>
        <v/>
      </c>
      <c r="T49">
        <f>HYPERLINK("https://klasma.github.io/Logging_1907/kartor/A 21618-2025 karta.png", "A 21618-2025")</f>
        <v/>
      </c>
      <c r="V49">
        <f>HYPERLINK("https://klasma.github.io/Logging_1907/klagomål/A 21618-2025 FSC-klagomål.docx", "A 21618-2025")</f>
        <v/>
      </c>
      <c r="W49">
        <f>HYPERLINK("https://klasma.github.io/Logging_1907/klagomålsmail/A 21618-2025 FSC-klagomål mail.docx", "A 21618-2025")</f>
        <v/>
      </c>
      <c r="X49">
        <f>HYPERLINK("https://klasma.github.io/Logging_1907/tillsyn/A 21618-2025 tillsynsbegäran.docx", "A 21618-2025")</f>
        <v/>
      </c>
      <c r="Y49">
        <f>HYPERLINK("https://klasma.github.io/Logging_1907/tillsynsmail/A 21618-2025 tillsynsbegäran mail.docx", "A 21618-2025")</f>
        <v/>
      </c>
    </row>
    <row r="50" ht="15" customHeight="1">
      <c r="A50" t="inlineStr">
        <is>
          <t>A 38170-2021</t>
        </is>
      </c>
      <c r="B50" s="1" t="n">
        <v>44405.43472222222</v>
      </c>
      <c r="C50" s="1" t="n">
        <v>46127</v>
      </c>
      <c r="D50" t="inlineStr">
        <is>
          <t>VÄSTMANLANDS LÄN</t>
        </is>
      </c>
      <c r="E50" t="inlineStr">
        <is>
          <t>SURAHAMMAR</t>
        </is>
      </c>
      <c r="F50" t="inlineStr">
        <is>
          <t>Sveaskog</t>
        </is>
      </c>
      <c r="G50" t="n">
        <v>1.2</v>
      </c>
      <c r="H50" t="n">
        <v>1</v>
      </c>
      <c r="I50" t="n">
        <v>0</v>
      </c>
      <c r="J50" t="n">
        <v>0</v>
      </c>
      <c r="K50" t="n">
        <v>0</v>
      </c>
      <c r="L50" t="n">
        <v>0</v>
      </c>
      <c r="M50" t="n">
        <v>0</v>
      </c>
      <c r="N50" t="n">
        <v>0</v>
      </c>
      <c r="O50" t="n">
        <v>0</v>
      </c>
      <c r="P50" t="n">
        <v>0</v>
      </c>
      <c r="Q50" t="n">
        <v>1</v>
      </c>
      <c r="R50" s="2" t="inlineStr">
        <is>
          <t>Revlummer</t>
        </is>
      </c>
      <c r="S50">
        <f>HYPERLINK("https://klasma.github.io/Logging_1907/artfynd/A 38170-2021 artfynd.xlsx", "A 38170-2021")</f>
        <v/>
      </c>
      <c r="T50">
        <f>HYPERLINK("https://klasma.github.io/Logging_1907/kartor/A 38170-2021 karta.png", "A 38170-2021")</f>
        <v/>
      </c>
      <c r="V50">
        <f>HYPERLINK("https://klasma.github.io/Logging_1907/klagomål/A 38170-2021 FSC-klagomål.docx", "A 38170-2021")</f>
        <v/>
      </c>
      <c r="W50">
        <f>HYPERLINK("https://klasma.github.io/Logging_1907/klagomålsmail/A 38170-2021 FSC-klagomål mail.docx", "A 38170-2021")</f>
        <v/>
      </c>
      <c r="X50">
        <f>HYPERLINK("https://klasma.github.io/Logging_1907/tillsyn/A 38170-2021 tillsynsbegäran.docx", "A 38170-2021")</f>
        <v/>
      </c>
      <c r="Y50">
        <f>HYPERLINK("https://klasma.github.io/Logging_1907/tillsynsmail/A 38170-2021 tillsynsbegäran mail.docx", "A 38170-2021")</f>
        <v/>
      </c>
    </row>
    <row r="51" ht="15" customHeight="1">
      <c r="A51" t="inlineStr">
        <is>
          <t>A 26700-2022</t>
        </is>
      </c>
      <c r="B51" s="1" t="n">
        <v>44739</v>
      </c>
      <c r="C51" s="1" t="n">
        <v>46127</v>
      </c>
      <c r="D51" t="inlineStr">
        <is>
          <t>VÄSTMANLANDS LÄN</t>
        </is>
      </c>
      <c r="E51" t="inlineStr">
        <is>
          <t>SURAHAMMAR</t>
        </is>
      </c>
      <c r="F51" t="inlineStr">
        <is>
          <t>Kommuner</t>
        </is>
      </c>
      <c r="G51" t="n">
        <v>3.1</v>
      </c>
      <c r="H51" t="n">
        <v>1</v>
      </c>
      <c r="I51" t="n">
        <v>0</v>
      </c>
      <c r="J51" t="n">
        <v>0</v>
      </c>
      <c r="K51" t="n">
        <v>0</v>
      </c>
      <c r="L51" t="n">
        <v>0</v>
      </c>
      <c r="M51" t="n">
        <v>0</v>
      </c>
      <c r="N51" t="n">
        <v>0</v>
      </c>
      <c r="O51" t="n">
        <v>0</v>
      </c>
      <c r="P51" t="n">
        <v>0</v>
      </c>
      <c r="Q51" t="n">
        <v>1</v>
      </c>
      <c r="R51" s="2" t="inlineStr">
        <is>
          <t>Fläcknycklar</t>
        </is>
      </c>
      <c r="S51">
        <f>HYPERLINK("https://klasma.github.io/Logging_1907/artfynd/A 26700-2022 artfynd.xlsx", "A 26700-2022")</f>
        <v/>
      </c>
      <c r="T51">
        <f>HYPERLINK("https://klasma.github.io/Logging_1907/kartor/A 26700-2022 karta.png", "A 26700-2022")</f>
        <v/>
      </c>
      <c r="V51">
        <f>HYPERLINK("https://klasma.github.io/Logging_1907/klagomål/A 26700-2022 FSC-klagomål.docx", "A 26700-2022")</f>
        <v/>
      </c>
      <c r="W51">
        <f>HYPERLINK("https://klasma.github.io/Logging_1907/klagomålsmail/A 26700-2022 FSC-klagomål mail.docx", "A 26700-2022")</f>
        <v/>
      </c>
      <c r="X51">
        <f>HYPERLINK("https://klasma.github.io/Logging_1907/tillsyn/A 26700-2022 tillsynsbegäran.docx", "A 26700-2022")</f>
        <v/>
      </c>
      <c r="Y51">
        <f>HYPERLINK("https://klasma.github.io/Logging_1907/tillsynsmail/A 26700-2022 tillsynsbegäran mail.docx", "A 26700-2022")</f>
        <v/>
      </c>
    </row>
    <row r="52" ht="15" customHeight="1">
      <c r="A52" t="inlineStr">
        <is>
          <t>A 67611-2021</t>
        </is>
      </c>
      <c r="B52" s="1" t="n">
        <v>44524</v>
      </c>
      <c r="C52" s="1" t="n">
        <v>46127</v>
      </c>
      <c r="D52" t="inlineStr">
        <is>
          <t>VÄSTMANLANDS LÄN</t>
        </is>
      </c>
      <c r="E52" t="inlineStr">
        <is>
          <t>SURAHAMMAR</t>
        </is>
      </c>
      <c r="F52" t="inlineStr">
        <is>
          <t>Kommuner</t>
        </is>
      </c>
      <c r="G52" t="n">
        <v>3.8</v>
      </c>
      <c r="H52" t="n">
        <v>0</v>
      </c>
      <c r="I52" t="n">
        <v>0</v>
      </c>
      <c r="J52" t="n">
        <v>1</v>
      </c>
      <c r="K52" t="n">
        <v>0</v>
      </c>
      <c r="L52" t="n">
        <v>0</v>
      </c>
      <c r="M52" t="n">
        <v>0</v>
      </c>
      <c r="N52" t="n">
        <v>0</v>
      </c>
      <c r="O52" t="n">
        <v>1</v>
      </c>
      <c r="P52" t="n">
        <v>0</v>
      </c>
      <c r="Q52" t="n">
        <v>1</v>
      </c>
      <c r="R52" s="2" t="inlineStr">
        <is>
          <t>Brödmärgsticka</t>
        </is>
      </c>
      <c r="S52">
        <f>HYPERLINK("https://klasma.github.io/Logging_1907/artfynd/A 67611-2021 artfynd.xlsx", "A 67611-2021")</f>
        <v/>
      </c>
      <c r="T52">
        <f>HYPERLINK("https://klasma.github.io/Logging_1907/kartor/A 67611-2021 karta.png", "A 67611-2021")</f>
        <v/>
      </c>
      <c r="V52">
        <f>HYPERLINK("https://klasma.github.io/Logging_1907/klagomål/A 67611-2021 FSC-klagomål.docx", "A 67611-2021")</f>
        <v/>
      </c>
      <c r="W52">
        <f>HYPERLINK("https://klasma.github.io/Logging_1907/klagomålsmail/A 67611-2021 FSC-klagomål mail.docx", "A 67611-2021")</f>
        <v/>
      </c>
      <c r="X52">
        <f>HYPERLINK("https://klasma.github.io/Logging_1907/tillsyn/A 67611-2021 tillsynsbegäran.docx", "A 67611-2021")</f>
        <v/>
      </c>
      <c r="Y52">
        <f>HYPERLINK("https://klasma.github.io/Logging_1907/tillsynsmail/A 67611-2021 tillsynsbegäran mail.docx", "A 67611-2021")</f>
        <v/>
      </c>
    </row>
    <row r="53" ht="15" customHeight="1">
      <c r="A53" t="inlineStr">
        <is>
          <t>A 30074-2023</t>
        </is>
      </c>
      <c r="B53" s="1" t="n">
        <v>45110</v>
      </c>
      <c r="C53" s="1" t="n">
        <v>46127</v>
      </c>
      <c r="D53" t="inlineStr">
        <is>
          <t>VÄSTMANLANDS LÄN</t>
        </is>
      </c>
      <c r="E53" t="inlineStr">
        <is>
          <t>SURAHAMMAR</t>
        </is>
      </c>
      <c r="F53" t="inlineStr">
        <is>
          <t>Sveaskog</t>
        </is>
      </c>
      <c r="G53" t="n">
        <v>1.1</v>
      </c>
      <c r="H53" t="n">
        <v>1</v>
      </c>
      <c r="I53" t="n">
        <v>0</v>
      </c>
      <c r="J53" t="n">
        <v>0</v>
      </c>
      <c r="K53" t="n">
        <v>0</v>
      </c>
      <c r="L53" t="n">
        <v>0</v>
      </c>
      <c r="M53" t="n">
        <v>0</v>
      </c>
      <c r="N53" t="n">
        <v>0</v>
      </c>
      <c r="O53" t="n">
        <v>0</v>
      </c>
      <c r="P53" t="n">
        <v>0</v>
      </c>
      <c r="Q53" t="n">
        <v>1</v>
      </c>
      <c r="R53" s="2" t="inlineStr">
        <is>
          <t>Revlummer</t>
        </is>
      </c>
      <c r="S53">
        <f>HYPERLINK("https://klasma.github.io/Logging_1907/artfynd/A 30074-2023 artfynd.xlsx", "A 30074-2023")</f>
        <v/>
      </c>
      <c r="T53">
        <f>HYPERLINK("https://klasma.github.io/Logging_1907/kartor/A 30074-2023 karta.png", "A 30074-2023")</f>
        <v/>
      </c>
      <c r="V53">
        <f>HYPERLINK("https://klasma.github.io/Logging_1907/klagomål/A 30074-2023 FSC-klagomål.docx", "A 30074-2023")</f>
        <v/>
      </c>
      <c r="W53">
        <f>HYPERLINK("https://klasma.github.io/Logging_1907/klagomålsmail/A 30074-2023 FSC-klagomål mail.docx", "A 30074-2023")</f>
        <v/>
      </c>
      <c r="X53">
        <f>HYPERLINK("https://klasma.github.io/Logging_1907/tillsyn/A 30074-2023 tillsynsbegäran.docx", "A 30074-2023")</f>
        <v/>
      </c>
      <c r="Y53">
        <f>HYPERLINK("https://klasma.github.io/Logging_1907/tillsynsmail/A 30074-2023 tillsynsbegäran mail.docx", "A 30074-2023")</f>
        <v/>
      </c>
    </row>
    <row r="54" ht="15" customHeight="1">
      <c r="A54" t="inlineStr">
        <is>
          <t>A 40411-2021</t>
        </is>
      </c>
      <c r="B54" s="1" t="n">
        <v>44419</v>
      </c>
      <c r="C54" s="1" t="n">
        <v>46127</v>
      </c>
      <c r="D54" t="inlineStr">
        <is>
          <t>VÄSTMANLANDS LÄN</t>
        </is>
      </c>
      <c r="E54" t="inlineStr">
        <is>
          <t>SURAHAMMAR</t>
        </is>
      </c>
      <c r="F54" t="inlineStr">
        <is>
          <t>Sveaskog</t>
        </is>
      </c>
      <c r="G54" t="n">
        <v>2.4</v>
      </c>
      <c r="H54" t="n">
        <v>1</v>
      </c>
      <c r="I54" t="n">
        <v>0</v>
      </c>
      <c r="J54" t="n">
        <v>0</v>
      </c>
      <c r="K54" t="n">
        <v>0</v>
      </c>
      <c r="L54" t="n">
        <v>0</v>
      </c>
      <c r="M54" t="n">
        <v>0</v>
      </c>
      <c r="N54" t="n">
        <v>0</v>
      </c>
      <c r="O54" t="n">
        <v>0</v>
      </c>
      <c r="P54" t="n">
        <v>0</v>
      </c>
      <c r="Q54" t="n">
        <v>1</v>
      </c>
      <c r="R54" s="2" t="inlineStr">
        <is>
          <t>Kopparödla</t>
        </is>
      </c>
      <c r="S54">
        <f>HYPERLINK("https://klasma.github.io/Logging_1907/artfynd/A 40411-2021 artfynd.xlsx", "A 40411-2021")</f>
        <v/>
      </c>
      <c r="T54">
        <f>HYPERLINK("https://klasma.github.io/Logging_1907/kartor/A 40411-2021 karta.png", "A 40411-2021")</f>
        <v/>
      </c>
      <c r="V54">
        <f>HYPERLINK("https://klasma.github.io/Logging_1907/klagomål/A 40411-2021 FSC-klagomål.docx", "A 40411-2021")</f>
        <v/>
      </c>
      <c r="W54">
        <f>HYPERLINK("https://klasma.github.io/Logging_1907/klagomålsmail/A 40411-2021 FSC-klagomål mail.docx", "A 40411-2021")</f>
        <v/>
      </c>
      <c r="X54">
        <f>HYPERLINK("https://klasma.github.io/Logging_1907/tillsyn/A 40411-2021 tillsynsbegäran.docx", "A 40411-2021")</f>
        <v/>
      </c>
      <c r="Y54">
        <f>HYPERLINK("https://klasma.github.io/Logging_1907/tillsynsmail/A 40411-2021 tillsynsbegäran mail.docx", "A 40411-2021")</f>
        <v/>
      </c>
    </row>
    <row r="55" ht="15" customHeight="1">
      <c r="A55" t="inlineStr">
        <is>
          <t>A 55871-2025</t>
        </is>
      </c>
      <c r="B55" s="1" t="n">
        <v>45973.35452546296</v>
      </c>
      <c r="C55" s="1" t="n">
        <v>46127</v>
      </c>
      <c r="D55" t="inlineStr">
        <is>
          <t>VÄSTMANLANDS LÄN</t>
        </is>
      </c>
      <c r="E55" t="inlineStr">
        <is>
          <t>SURAHAMMAR</t>
        </is>
      </c>
      <c r="F55" t="inlineStr">
        <is>
          <t>Sveaskog</t>
        </is>
      </c>
      <c r="G55" t="n">
        <v>1.4</v>
      </c>
      <c r="H55" t="n">
        <v>1</v>
      </c>
      <c r="I55" t="n">
        <v>0</v>
      </c>
      <c r="J55" t="n">
        <v>0</v>
      </c>
      <c r="K55" t="n">
        <v>0</v>
      </c>
      <c r="L55" t="n">
        <v>0</v>
      </c>
      <c r="M55" t="n">
        <v>0</v>
      </c>
      <c r="N55" t="n">
        <v>0</v>
      </c>
      <c r="O55" t="n">
        <v>0</v>
      </c>
      <c r="P55" t="n">
        <v>0</v>
      </c>
      <c r="Q55" t="n">
        <v>1</v>
      </c>
      <c r="R55" s="2" t="inlineStr">
        <is>
          <t>Lopplummer (aggregat)</t>
        </is>
      </c>
      <c r="S55">
        <f>HYPERLINK("https://klasma.github.io/Logging_1907/artfynd/A 55871-2025 artfynd.xlsx", "A 55871-2025")</f>
        <v/>
      </c>
      <c r="T55">
        <f>HYPERLINK("https://klasma.github.io/Logging_1907/kartor/A 55871-2025 karta.png", "A 55871-2025")</f>
        <v/>
      </c>
      <c r="V55">
        <f>HYPERLINK("https://klasma.github.io/Logging_1907/klagomål/A 55871-2025 FSC-klagomål.docx", "A 55871-2025")</f>
        <v/>
      </c>
      <c r="W55">
        <f>HYPERLINK("https://klasma.github.io/Logging_1907/klagomålsmail/A 55871-2025 FSC-klagomål mail.docx", "A 55871-2025")</f>
        <v/>
      </c>
      <c r="X55">
        <f>HYPERLINK("https://klasma.github.io/Logging_1907/tillsyn/A 55871-2025 tillsynsbegäran.docx", "A 55871-2025")</f>
        <v/>
      </c>
      <c r="Y55">
        <f>HYPERLINK("https://klasma.github.io/Logging_1907/tillsynsmail/A 55871-2025 tillsynsbegäran mail.docx", "A 55871-2025")</f>
        <v/>
      </c>
    </row>
    <row r="56" ht="15" customHeight="1">
      <c r="A56" t="inlineStr">
        <is>
          <t>A 34582-2025</t>
        </is>
      </c>
      <c r="B56" s="1" t="n">
        <v>45846</v>
      </c>
      <c r="C56" s="1" t="n">
        <v>46127</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13788-2025</t>
        </is>
      </c>
      <c r="B57" s="1" t="n">
        <v>45737.45327546296</v>
      </c>
      <c r="C57" s="1" t="n">
        <v>46127</v>
      </c>
      <c r="D57" t="inlineStr">
        <is>
          <t>VÄSTMANLANDS LÄN</t>
        </is>
      </c>
      <c r="E57" t="inlineStr">
        <is>
          <t>SURAHAMMAR</t>
        </is>
      </c>
      <c r="G57" t="n">
        <v>9.699999999999999</v>
      </c>
      <c r="H57" t="n">
        <v>1</v>
      </c>
      <c r="I57" t="n">
        <v>0</v>
      </c>
      <c r="J57" t="n">
        <v>0</v>
      </c>
      <c r="K57" t="n">
        <v>0</v>
      </c>
      <c r="L57" t="n">
        <v>0</v>
      </c>
      <c r="M57" t="n">
        <v>0</v>
      </c>
      <c r="N57" t="n">
        <v>0</v>
      </c>
      <c r="O57" t="n">
        <v>0</v>
      </c>
      <c r="P57" t="n">
        <v>0</v>
      </c>
      <c r="Q57" t="n">
        <v>1</v>
      </c>
      <c r="R57" s="2" t="inlineStr">
        <is>
          <t>Sparvuggla</t>
        </is>
      </c>
      <c r="S57">
        <f>HYPERLINK("https://klasma.github.io/Logging_1907/artfynd/A 13788-2025 artfynd.xlsx", "A 13788-2025")</f>
        <v/>
      </c>
      <c r="T57">
        <f>HYPERLINK("https://klasma.github.io/Logging_1907/kartor/A 13788-2025 karta.png", "A 13788-2025")</f>
        <v/>
      </c>
      <c r="V57">
        <f>HYPERLINK("https://klasma.github.io/Logging_1907/klagomål/A 13788-2025 FSC-klagomål.docx", "A 13788-2025")</f>
        <v/>
      </c>
      <c r="W57">
        <f>HYPERLINK("https://klasma.github.io/Logging_1907/klagomålsmail/A 13788-2025 FSC-klagomål mail.docx", "A 13788-2025")</f>
        <v/>
      </c>
      <c r="X57">
        <f>HYPERLINK("https://klasma.github.io/Logging_1907/tillsyn/A 13788-2025 tillsynsbegäran.docx", "A 13788-2025")</f>
        <v/>
      </c>
      <c r="Y57">
        <f>HYPERLINK("https://klasma.github.io/Logging_1907/tillsynsmail/A 13788-2025 tillsynsbegäran mail.docx", "A 13788-2025")</f>
        <v/>
      </c>
      <c r="Z57">
        <f>HYPERLINK("https://klasma.github.io/Logging_1907/fåglar/A 13788-2025 prioriterade fågelarter.docx", "A 13788-2025")</f>
        <v/>
      </c>
    </row>
    <row r="58" ht="15" customHeight="1">
      <c r="A58" t="inlineStr">
        <is>
          <t>A 56362-2023</t>
        </is>
      </c>
      <c r="B58" s="1" t="n">
        <v>45236</v>
      </c>
      <c r="C58" s="1" t="n">
        <v>46127</v>
      </c>
      <c r="D58" t="inlineStr">
        <is>
          <t>VÄSTMANLANDS LÄN</t>
        </is>
      </c>
      <c r="E58" t="inlineStr">
        <is>
          <t>SURAHAMMAR</t>
        </is>
      </c>
      <c r="F58" t="inlineStr">
        <is>
          <t>Bergvik skog väst AB</t>
        </is>
      </c>
      <c r="G58" t="n">
        <v>15.2</v>
      </c>
      <c r="H58" t="n">
        <v>0</v>
      </c>
      <c r="I58" t="n">
        <v>1</v>
      </c>
      <c r="J58" t="n">
        <v>0</v>
      </c>
      <c r="K58" t="n">
        <v>0</v>
      </c>
      <c r="L58" t="n">
        <v>0</v>
      </c>
      <c r="M58" t="n">
        <v>0</v>
      </c>
      <c r="N58" t="n">
        <v>0</v>
      </c>
      <c r="O58" t="n">
        <v>0</v>
      </c>
      <c r="P58" t="n">
        <v>0</v>
      </c>
      <c r="Q58" t="n">
        <v>1</v>
      </c>
      <c r="R58" s="2" t="inlineStr">
        <is>
          <t>Grönpyrola</t>
        </is>
      </c>
      <c r="S58">
        <f>HYPERLINK("https://klasma.github.io/Logging_1907/artfynd/A 56362-2023 artfynd.xlsx", "A 56362-2023")</f>
        <v/>
      </c>
      <c r="T58">
        <f>HYPERLINK("https://klasma.github.io/Logging_1907/kartor/A 56362-2023 karta.png", "A 56362-2023")</f>
        <v/>
      </c>
      <c r="V58">
        <f>HYPERLINK("https://klasma.github.io/Logging_1907/klagomål/A 56362-2023 FSC-klagomål.docx", "A 56362-2023")</f>
        <v/>
      </c>
      <c r="W58">
        <f>HYPERLINK("https://klasma.github.io/Logging_1907/klagomålsmail/A 56362-2023 FSC-klagomål mail.docx", "A 56362-2023")</f>
        <v/>
      </c>
      <c r="X58">
        <f>HYPERLINK("https://klasma.github.io/Logging_1907/tillsyn/A 56362-2023 tillsynsbegäran.docx", "A 56362-2023")</f>
        <v/>
      </c>
      <c r="Y58">
        <f>HYPERLINK("https://klasma.github.io/Logging_1907/tillsynsmail/A 56362-2023 tillsynsbegäran mail.docx", "A 56362-2023")</f>
        <v/>
      </c>
    </row>
    <row r="59" ht="15" customHeight="1">
      <c r="A59" t="inlineStr">
        <is>
          <t>A 42089-2025</t>
        </is>
      </c>
      <c r="B59" s="1" t="n">
        <v>45902</v>
      </c>
      <c r="C59" s="1" t="n">
        <v>46127</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56768-2025</t>
        </is>
      </c>
      <c r="B60" s="1" t="n">
        <v>45978</v>
      </c>
      <c r="C60" s="1" t="n">
        <v>46127</v>
      </c>
      <c r="D60" t="inlineStr">
        <is>
          <t>VÄSTMANLANDS LÄN</t>
        </is>
      </c>
      <c r="E60" t="inlineStr">
        <is>
          <t>SURAHAMMAR</t>
        </is>
      </c>
      <c r="F60" t="inlineStr">
        <is>
          <t>Sveaskog</t>
        </is>
      </c>
      <c r="G60" t="n">
        <v>3.8</v>
      </c>
      <c r="H60" t="n">
        <v>0</v>
      </c>
      <c r="I60" t="n">
        <v>0</v>
      </c>
      <c r="J60" t="n">
        <v>1</v>
      </c>
      <c r="K60" t="n">
        <v>0</v>
      </c>
      <c r="L60" t="n">
        <v>0</v>
      </c>
      <c r="M60" t="n">
        <v>0</v>
      </c>
      <c r="N60" t="n">
        <v>0</v>
      </c>
      <c r="O60" t="n">
        <v>1</v>
      </c>
      <c r="P60" t="n">
        <v>0</v>
      </c>
      <c r="Q60" t="n">
        <v>1</v>
      </c>
      <c r="R60" s="2" t="inlineStr">
        <is>
          <t>Motaggsvamp</t>
        </is>
      </c>
      <c r="S60">
        <f>HYPERLINK("https://klasma.github.io/Logging_1907/artfynd/A 56768-2025 artfynd.xlsx", "A 56768-2025")</f>
        <v/>
      </c>
      <c r="T60">
        <f>HYPERLINK("https://klasma.github.io/Logging_1907/kartor/A 56768-2025 karta.png", "A 56768-2025")</f>
        <v/>
      </c>
      <c r="V60">
        <f>HYPERLINK("https://klasma.github.io/Logging_1907/klagomål/A 56768-2025 FSC-klagomål.docx", "A 56768-2025")</f>
        <v/>
      </c>
      <c r="W60">
        <f>HYPERLINK("https://klasma.github.io/Logging_1907/klagomålsmail/A 56768-2025 FSC-klagomål mail.docx", "A 56768-2025")</f>
        <v/>
      </c>
      <c r="X60">
        <f>HYPERLINK("https://klasma.github.io/Logging_1907/tillsyn/A 56768-2025 tillsynsbegäran.docx", "A 56768-2025")</f>
        <v/>
      </c>
      <c r="Y60">
        <f>HYPERLINK("https://klasma.github.io/Logging_1907/tillsynsmail/A 56768-2025 tillsynsbegäran mail.docx", "A 56768-2025")</f>
        <v/>
      </c>
    </row>
    <row r="61" ht="15" customHeight="1">
      <c r="A61" t="inlineStr">
        <is>
          <t>A 47453-2024</t>
        </is>
      </c>
      <c r="B61" s="1" t="n">
        <v>45587.55017361111</v>
      </c>
      <c r="C61" s="1" t="n">
        <v>46127</v>
      </c>
      <c r="D61" t="inlineStr">
        <is>
          <t>VÄSTMANLANDS LÄN</t>
        </is>
      </c>
      <c r="E61" t="inlineStr">
        <is>
          <t>SURAHAMMAR</t>
        </is>
      </c>
      <c r="G61" t="n">
        <v>5.1</v>
      </c>
      <c r="H61" t="n">
        <v>1</v>
      </c>
      <c r="I61" t="n">
        <v>0</v>
      </c>
      <c r="J61" t="n">
        <v>0</v>
      </c>
      <c r="K61" t="n">
        <v>0</v>
      </c>
      <c r="L61" t="n">
        <v>0</v>
      </c>
      <c r="M61" t="n">
        <v>0</v>
      </c>
      <c r="N61" t="n">
        <v>0</v>
      </c>
      <c r="O61" t="n">
        <v>0</v>
      </c>
      <c r="P61" t="n">
        <v>0</v>
      </c>
      <c r="Q61" t="n">
        <v>1</v>
      </c>
      <c r="R61" s="2" t="inlineStr">
        <is>
          <t>Göktyta</t>
        </is>
      </c>
      <c r="S61">
        <f>HYPERLINK("https://klasma.github.io/Logging_1907/artfynd/A 47453-2024 artfynd.xlsx", "A 47453-2024")</f>
        <v/>
      </c>
      <c r="T61">
        <f>HYPERLINK("https://klasma.github.io/Logging_1907/kartor/A 47453-2024 karta.png", "A 47453-2024")</f>
        <v/>
      </c>
      <c r="V61">
        <f>HYPERLINK("https://klasma.github.io/Logging_1907/klagomål/A 47453-2024 FSC-klagomål.docx", "A 47453-2024")</f>
        <v/>
      </c>
      <c r="W61">
        <f>HYPERLINK("https://klasma.github.io/Logging_1907/klagomålsmail/A 47453-2024 FSC-klagomål mail.docx", "A 47453-2024")</f>
        <v/>
      </c>
      <c r="X61">
        <f>HYPERLINK("https://klasma.github.io/Logging_1907/tillsyn/A 47453-2024 tillsynsbegäran.docx", "A 47453-2024")</f>
        <v/>
      </c>
      <c r="Y61">
        <f>HYPERLINK("https://klasma.github.io/Logging_1907/tillsynsmail/A 47453-2024 tillsynsbegäran mail.docx", "A 47453-2024")</f>
        <v/>
      </c>
      <c r="Z61">
        <f>HYPERLINK("https://klasma.github.io/Logging_1907/fåglar/A 47453-2024 prioriterade fågelarter.docx", "A 47453-2024")</f>
        <v/>
      </c>
    </row>
    <row r="62" ht="15" customHeight="1">
      <c r="A62" t="inlineStr">
        <is>
          <t>A 25583-2024</t>
        </is>
      </c>
      <c r="B62" s="1" t="n">
        <v>45463</v>
      </c>
      <c r="C62" s="1" t="n">
        <v>46127</v>
      </c>
      <c r="D62" t="inlineStr">
        <is>
          <t>VÄSTMANLANDS LÄN</t>
        </is>
      </c>
      <c r="E62" t="inlineStr">
        <is>
          <t>SURAHAMMAR</t>
        </is>
      </c>
      <c r="F62" t="inlineStr">
        <is>
          <t>Bergvik skog väst AB</t>
        </is>
      </c>
      <c r="G62" t="n">
        <v>7.8</v>
      </c>
      <c r="H62" t="n">
        <v>1</v>
      </c>
      <c r="I62" t="n">
        <v>0</v>
      </c>
      <c r="J62" t="n">
        <v>0</v>
      </c>
      <c r="K62" t="n">
        <v>0</v>
      </c>
      <c r="L62" t="n">
        <v>0</v>
      </c>
      <c r="M62" t="n">
        <v>0</v>
      </c>
      <c r="N62" t="n">
        <v>0</v>
      </c>
      <c r="O62" t="n">
        <v>0</v>
      </c>
      <c r="P62" t="n">
        <v>0</v>
      </c>
      <c r="Q62" t="n">
        <v>1</v>
      </c>
      <c r="R62" s="2" t="inlineStr">
        <is>
          <t>Blåsippa</t>
        </is>
      </c>
      <c r="S62">
        <f>HYPERLINK("https://klasma.github.io/Logging_1907/artfynd/A 25583-2024 artfynd.xlsx", "A 25583-2024")</f>
        <v/>
      </c>
      <c r="T62">
        <f>HYPERLINK("https://klasma.github.io/Logging_1907/kartor/A 25583-2024 karta.png", "A 25583-2024")</f>
        <v/>
      </c>
      <c r="V62">
        <f>HYPERLINK("https://klasma.github.io/Logging_1907/klagomål/A 25583-2024 FSC-klagomål.docx", "A 25583-2024")</f>
        <v/>
      </c>
      <c r="W62">
        <f>HYPERLINK("https://klasma.github.io/Logging_1907/klagomålsmail/A 25583-2024 FSC-klagomål mail.docx", "A 25583-2024")</f>
        <v/>
      </c>
      <c r="X62">
        <f>HYPERLINK("https://klasma.github.io/Logging_1907/tillsyn/A 25583-2024 tillsynsbegäran.docx", "A 25583-2024")</f>
        <v/>
      </c>
      <c r="Y62">
        <f>HYPERLINK("https://klasma.github.io/Logging_1907/tillsynsmail/A 25583-2024 tillsynsbegäran mail.docx", "A 25583-2024")</f>
        <v/>
      </c>
    </row>
    <row r="63" ht="15" customHeight="1">
      <c r="A63" t="inlineStr">
        <is>
          <t>A 39099-2022</t>
        </is>
      </c>
      <c r="B63" s="1" t="n">
        <v>44817</v>
      </c>
      <c r="C63" s="1" t="n">
        <v>46127</v>
      </c>
      <c r="D63" t="inlineStr">
        <is>
          <t>VÄSTMANLANDS LÄN</t>
        </is>
      </c>
      <c r="E63" t="inlineStr">
        <is>
          <t>SURAHAMMAR</t>
        </is>
      </c>
      <c r="F63" t="inlineStr">
        <is>
          <t>Bergvik skog väst AB</t>
        </is>
      </c>
      <c r="G63" t="n">
        <v>7.4</v>
      </c>
      <c r="H63" t="n">
        <v>0</v>
      </c>
      <c r="I63" t="n">
        <v>1</v>
      </c>
      <c r="J63" t="n">
        <v>0</v>
      </c>
      <c r="K63" t="n">
        <v>0</v>
      </c>
      <c r="L63" t="n">
        <v>0</v>
      </c>
      <c r="M63" t="n">
        <v>0</v>
      </c>
      <c r="N63" t="n">
        <v>0</v>
      </c>
      <c r="O63" t="n">
        <v>0</v>
      </c>
      <c r="P63" t="n">
        <v>0</v>
      </c>
      <c r="Q63" t="n">
        <v>1</v>
      </c>
      <c r="R63" s="2" t="inlineStr">
        <is>
          <t>Stekelbock</t>
        </is>
      </c>
      <c r="S63">
        <f>HYPERLINK("https://klasma.github.io/Logging_1907/artfynd/A 39099-2022 artfynd.xlsx", "A 39099-2022")</f>
        <v/>
      </c>
      <c r="T63">
        <f>HYPERLINK("https://klasma.github.io/Logging_1907/kartor/A 39099-2022 karta.png", "A 39099-2022")</f>
        <v/>
      </c>
      <c r="V63">
        <f>HYPERLINK("https://klasma.github.io/Logging_1907/klagomål/A 39099-2022 FSC-klagomål.docx", "A 39099-2022")</f>
        <v/>
      </c>
      <c r="W63">
        <f>HYPERLINK("https://klasma.github.io/Logging_1907/klagomålsmail/A 39099-2022 FSC-klagomål mail.docx", "A 39099-2022")</f>
        <v/>
      </c>
      <c r="X63">
        <f>HYPERLINK("https://klasma.github.io/Logging_1907/tillsyn/A 39099-2022 tillsynsbegäran.docx", "A 39099-2022")</f>
        <v/>
      </c>
      <c r="Y63">
        <f>HYPERLINK("https://klasma.github.io/Logging_1907/tillsynsmail/A 39099-2022 tillsynsbegäran mail.docx", "A 39099-2022")</f>
        <v/>
      </c>
    </row>
    <row r="64" ht="15" customHeight="1">
      <c r="A64" t="inlineStr">
        <is>
          <t>A 42765-2022</t>
        </is>
      </c>
      <c r="B64" s="1" t="n">
        <v>44832</v>
      </c>
      <c r="C64" s="1" t="n">
        <v>46127</v>
      </c>
      <c r="D64" t="inlineStr">
        <is>
          <t>VÄSTMANLANDS LÄN</t>
        </is>
      </c>
      <c r="E64" t="inlineStr">
        <is>
          <t>SURAHAMMAR</t>
        </is>
      </c>
      <c r="G64" t="n">
        <v>1.8</v>
      </c>
      <c r="H64" t="n">
        <v>1</v>
      </c>
      <c r="I64" t="n">
        <v>0</v>
      </c>
      <c r="J64" t="n">
        <v>0</v>
      </c>
      <c r="K64" t="n">
        <v>0</v>
      </c>
      <c r="L64" t="n">
        <v>0</v>
      </c>
      <c r="M64" t="n">
        <v>0</v>
      </c>
      <c r="N64" t="n">
        <v>0</v>
      </c>
      <c r="O64" t="n">
        <v>0</v>
      </c>
      <c r="P64" t="n">
        <v>0</v>
      </c>
      <c r="Q64" t="n">
        <v>1</v>
      </c>
      <c r="R64" s="2" t="inlineStr">
        <is>
          <t>Blåsippa</t>
        </is>
      </c>
      <c r="S64">
        <f>HYPERLINK("https://klasma.github.io/Logging_1907/artfynd/A 42765-2022 artfynd.xlsx", "A 42765-2022")</f>
        <v/>
      </c>
      <c r="T64">
        <f>HYPERLINK("https://klasma.github.io/Logging_1907/kartor/A 42765-2022 karta.png", "A 42765-2022")</f>
        <v/>
      </c>
      <c r="V64">
        <f>HYPERLINK("https://klasma.github.io/Logging_1907/klagomål/A 42765-2022 FSC-klagomål.docx", "A 42765-2022")</f>
        <v/>
      </c>
      <c r="W64">
        <f>HYPERLINK("https://klasma.github.io/Logging_1907/klagomålsmail/A 42765-2022 FSC-klagomål mail.docx", "A 42765-2022")</f>
        <v/>
      </c>
      <c r="X64">
        <f>HYPERLINK("https://klasma.github.io/Logging_1907/tillsyn/A 42765-2022 tillsynsbegäran.docx", "A 42765-2022")</f>
        <v/>
      </c>
      <c r="Y64">
        <f>HYPERLINK("https://klasma.github.io/Logging_1907/tillsynsmail/A 42765-2022 tillsynsbegäran mail.docx", "A 42765-2022")</f>
        <v/>
      </c>
    </row>
    <row r="65" ht="15" customHeight="1">
      <c r="A65" t="inlineStr">
        <is>
          <t>A 10819-2024</t>
        </is>
      </c>
      <c r="B65" s="1" t="n">
        <v>45369.66049768519</v>
      </c>
      <c r="C65" s="1" t="n">
        <v>46127</v>
      </c>
      <c r="D65" t="inlineStr">
        <is>
          <t>VÄSTMANLANDS LÄN</t>
        </is>
      </c>
      <c r="E65" t="inlineStr">
        <is>
          <t>SURAHAMMAR</t>
        </is>
      </c>
      <c r="G65" t="n">
        <v>2</v>
      </c>
      <c r="H65" t="n">
        <v>0</v>
      </c>
      <c r="I65" t="n">
        <v>1</v>
      </c>
      <c r="J65" t="n">
        <v>0</v>
      </c>
      <c r="K65" t="n">
        <v>0</v>
      </c>
      <c r="L65" t="n">
        <v>0</v>
      </c>
      <c r="M65" t="n">
        <v>0</v>
      </c>
      <c r="N65" t="n">
        <v>0</v>
      </c>
      <c r="O65" t="n">
        <v>0</v>
      </c>
      <c r="P65" t="n">
        <v>0</v>
      </c>
      <c r="Q65" t="n">
        <v>1</v>
      </c>
      <c r="R65" s="2" t="inlineStr">
        <is>
          <t>Tibast</t>
        </is>
      </c>
      <c r="S65">
        <f>HYPERLINK("https://klasma.github.io/Logging_1907/artfynd/A 10819-2024 artfynd.xlsx", "A 10819-2024")</f>
        <v/>
      </c>
      <c r="T65">
        <f>HYPERLINK("https://klasma.github.io/Logging_1907/kartor/A 10819-2024 karta.png", "A 10819-2024")</f>
        <v/>
      </c>
      <c r="V65">
        <f>HYPERLINK("https://klasma.github.io/Logging_1907/klagomål/A 10819-2024 FSC-klagomål.docx", "A 10819-2024")</f>
        <v/>
      </c>
      <c r="W65">
        <f>HYPERLINK("https://klasma.github.io/Logging_1907/klagomålsmail/A 10819-2024 FSC-klagomål mail.docx", "A 10819-2024")</f>
        <v/>
      </c>
      <c r="X65">
        <f>HYPERLINK("https://klasma.github.io/Logging_1907/tillsyn/A 10819-2024 tillsynsbegäran.docx", "A 10819-2024")</f>
        <v/>
      </c>
      <c r="Y65">
        <f>HYPERLINK("https://klasma.github.io/Logging_1907/tillsynsmail/A 10819-2024 tillsynsbegäran mail.docx", "A 10819-2024")</f>
        <v/>
      </c>
    </row>
    <row r="66" ht="15" customHeight="1">
      <c r="A66" t="inlineStr">
        <is>
          <t>A 55042-2025</t>
        </is>
      </c>
      <c r="B66" s="1" t="n">
        <v>45967.65858796296</v>
      </c>
      <c r="C66" s="1" t="n">
        <v>46127</v>
      </c>
      <c r="D66" t="inlineStr">
        <is>
          <t>VÄSTMANLANDS LÄN</t>
        </is>
      </c>
      <c r="E66" t="inlineStr">
        <is>
          <t>SURAHAMMAR</t>
        </is>
      </c>
      <c r="F66" t="inlineStr">
        <is>
          <t>Sveaskog</t>
        </is>
      </c>
      <c r="G66" t="n">
        <v>7.2</v>
      </c>
      <c r="H66" t="n">
        <v>0</v>
      </c>
      <c r="I66" t="n">
        <v>0</v>
      </c>
      <c r="J66" t="n">
        <v>1</v>
      </c>
      <c r="K66" t="n">
        <v>0</v>
      </c>
      <c r="L66" t="n">
        <v>0</v>
      </c>
      <c r="M66" t="n">
        <v>0</v>
      </c>
      <c r="N66" t="n">
        <v>0</v>
      </c>
      <c r="O66" t="n">
        <v>1</v>
      </c>
      <c r="P66" t="n">
        <v>0</v>
      </c>
      <c r="Q66" t="n">
        <v>1</v>
      </c>
      <c r="R66" s="2" t="inlineStr">
        <is>
          <t>Motaggsvamp</t>
        </is>
      </c>
      <c r="S66">
        <f>HYPERLINK("https://klasma.github.io/Logging_1907/artfynd/A 55042-2025 artfynd.xlsx", "A 55042-2025")</f>
        <v/>
      </c>
      <c r="T66">
        <f>HYPERLINK("https://klasma.github.io/Logging_1907/kartor/A 55042-2025 karta.png", "A 55042-2025")</f>
        <v/>
      </c>
      <c r="V66">
        <f>HYPERLINK("https://klasma.github.io/Logging_1907/klagomål/A 55042-2025 FSC-klagomål.docx", "A 55042-2025")</f>
        <v/>
      </c>
      <c r="W66">
        <f>HYPERLINK("https://klasma.github.io/Logging_1907/klagomålsmail/A 55042-2025 FSC-klagomål mail.docx", "A 55042-2025")</f>
        <v/>
      </c>
      <c r="X66">
        <f>HYPERLINK("https://klasma.github.io/Logging_1907/tillsyn/A 55042-2025 tillsynsbegäran.docx", "A 55042-2025")</f>
        <v/>
      </c>
      <c r="Y66">
        <f>HYPERLINK("https://klasma.github.io/Logging_1907/tillsynsmail/A 55042-2025 tillsynsbegäran mail.docx", "A 55042-2025")</f>
        <v/>
      </c>
    </row>
    <row r="67" ht="15" customHeight="1">
      <c r="A67" t="inlineStr">
        <is>
          <t>A 63145-2025</t>
        </is>
      </c>
      <c r="B67" s="1" t="n">
        <v>46009</v>
      </c>
      <c r="C67" s="1" t="n">
        <v>46127</v>
      </c>
      <c r="D67" t="inlineStr">
        <is>
          <t>VÄSTMANLANDS LÄN</t>
        </is>
      </c>
      <c r="E67" t="inlineStr">
        <is>
          <t>SURAHAMMAR</t>
        </is>
      </c>
      <c r="F67" t="inlineStr">
        <is>
          <t>Bergvik skog väst AB</t>
        </is>
      </c>
      <c r="G67" t="n">
        <v>40.5</v>
      </c>
      <c r="H67" t="n">
        <v>0</v>
      </c>
      <c r="I67" t="n">
        <v>1</v>
      </c>
      <c r="J67" t="n">
        <v>0</v>
      </c>
      <c r="K67" t="n">
        <v>0</v>
      </c>
      <c r="L67" t="n">
        <v>0</v>
      </c>
      <c r="M67" t="n">
        <v>0</v>
      </c>
      <c r="N67" t="n">
        <v>0</v>
      </c>
      <c r="O67" t="n">
        <v>0</v>
      </c>
      <c r="P67" t="n">
        <v>0</v>
      </c>
      <c r="Q67" t="n">
        <v>1</v>
      </c>
      <c r="R67" s="2" t="inlineStr">
        <is>
          <t>Svart trolldruva</t>
        </is>
      </c>
      <c r="S67">
        <f>HYPERLINK("https://klasma.github.io/Logging_1907/artfynd/A 63145-2025 artfynd.xlsx", "A 63145-2025")</f>
        <v/>
      </c>
      <c r="T67">
        <f>HYPERLINK("https://klasma.github.io/Logging_1907/kartor/A 63145-2025 karta.png", "A 63145-2025")</f>
        <v/>
      </c>
      <c r="V67">
        <f>HYPERLINK("https://klasma.github.io/Logging_1907/klagomål/A 63145-2025 FSC-klagomål.docx", "A 63145-2025")</f>
        <v/>
      </c>
      <c r="W67">
        <f>HYPERLINK("https://klasma.github.io/Logging_1907/klagomålsmail/A 63145-2025 FSC-klagomål mail.docx", "A 63145-2025")</f>
        <v/>
      </c>
      <c r="X67">
        <f>HYPERLINK("https://klasma.github.io/Logging_1907/tillsyn/A 63145-2025 tillsynsbegäran.docx", "A 63145-2025")</f>
        <v/>
      </c>
      <c r="Y67">
        <f>HYPERLINK("https://klasma.github.io/Logging_1907/tillsynsmail/A 63145-2025 tillsynsbegäran mail.docx", "A 63145-2025")</f>
        <v/>
      </c>
    </row>
    <row r="68" ht="15" customHeight="1">
      <c r="A68" t="inlineStr">
        <is>
          <t>A 69777-2021</t>
        </is>
      </c>
      <c r="B68" s="1" t="n">
        <v>44532</v>
      </c>
      <c r="C68" s="1" t="n">
        <v>46127</v>
      </c>
      <c r="D68" t="inlineStr">
        <is>
          <t>VÄSTMANLANDS LÄN</t>
        </is>
      </c>
      <c r="E68" t="inlineStr">
        <is>
          <t>SURAHAMMAR</t>
        </is>
      </c>
      <c r="G68" t="n">
        <v>2.3</v>
      </c>
      <c r="H68" t="n">
        <v>1</v>
      </c>
      <c r="I68" t="n">
        <v>0</v>
      </c>
      <c r="J68" t="n">
        <v>0</v>
      </c>
      <c r="K68" t="n">
        <v>1</v>
      </c>
      <c r="L68" t="n">
        <v>0</v>
      </c>
      <c r="M68" t="n">
        <v>0</v>
      </c>
      <c r="N68" t="n">
        <v>0</v>
      </c>
      <c r="O68" t="n">
        <v>1</v>
      </c>
      <c r="P68" t="n">
        <v>1</v>
      </c>
      <c r="Q68" t="n">
        <v>1</v>
      </c>
      <c r="R68" s="2" t="inlineStr">
        <is>
          <t>Bombmurkla</t>
        </is>
      </c>
      <c r="S68">
        <f>HYPERLINK("https://klasma.github.io/Logging_1907/artfynd/A 69777-2021 artfynd.xlsx", "A 69777-2021")</f>
        <v/>
      </c>
      <c r="T68">
        <f>HYPERLINK("https://klasma.github.io/Logging_1907/kartor/A 69777-2021 karta.png", "A 69777-2021")</f>
        <v/>
      </c>
      <c r="V68">
        <f>HYPERLINK("https://klasma.github.io/Logging_1907/klagomål/A 69777-2021 FSC-klagomål.docx", "A 69777-2021")</f>
        <v/>
      </c>
      <c r="W68">
        <f>HYPERLINK("https://klasma.github.io/Logging_1907/klagomålsmail/A 69777-2021 FSC-klagomål mail.docx", "A 69777-2021")</f>
        <v/>
      </c>
      <c r="X68">
        <f>HYPERLINK("https://klasma.github.io/Logging_1907/tillsyn/A 69777-2021 tillsynsbegäran.docx", "A 69777-2021")</f>
        <v/>
      </c>
      <c r="Y68">
        <f>HYPERLINK("https://klasma.github.io/Logging_1907/tillsynsmail/A 69777-2021 tillsynsbegäran mail.docx", "A 69777-2021")</f>
        <v/>
      </c>
    </row>
    <row r="69" ht="15" customHeight="1">
      <c r="A69" t="inlineStr">
        <is>
          <t>A 17632-2022</t>
        </is>
      </c>
      <c r="B69" s="1" t="n">
        <v>44680</v>
      </c>
      <c r="C69" s="1" t="n">
        <v>46127</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44356-2024</t>
        </is>
      </c>
      <c r="B70" s="1" t="n">
        <v>45573</v>
      </c>
      <c r="C70" s="1" t="n">
        <v>46127</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22840-2023</t>
        </is>
      </c>
      <c r="B71" s="1" t="n">
        <v>45072</v>
      </c>
      <c r="C71" s="1" t="n">
        <v>46127</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33231-2024</t>
        </is>
      </c>
      <c r="B72" s="1" t="n">
        <v>45518</v>
      </c>
      <c r="C72" s="1" t="n">
        <v>46127</v>
      </c>
      <c r="D72" t="inlineStr">
        <is>
          <t>VÄSTMANLANDS LÄN</t>
        </is>
      </c>
      <c r="E72" t="inlineStr">
        <is>
          <t>SURAHAMMAR</t>
        </is>
      </c>
      <c r="F72" t="inlineStr">
        <is>
          <t>Bergvik skog väst AB</t>
        </is>
      </c>
      <c r="G72" t="n">
        <v>1.5</v>
      </c>
      <c r="H72" t="n">
        <v>1</v>
      </c>
      <c r="I72" t="n">
        <v>0</v>
      </c>
      <c r="J72" t="n">
        <v>0</v>
      </c>
      <c r="K72" t="n">
        <v>0</v>
      </c>
      <c r="L72" t="n">
        <v>0</v>
      </c>
      <c r="M72" t="n">
        <v>0</v>
      </c>
      <c r="N72" t="n">
        <v>0</v>
      </c>
      <c r="O72" t="n">
        <v>0</v>
      </c>
      <c r="P72" t="n">
        <v>0</v>
      </c>
      <c r="Q72" t="n">
        <v>1</v>
      </c>
      <c r="R72" s="2" t="inlineStr">
        <is>
          <t>Mindre vattensalamander</t>
        </is>
      </c>
      <c r="S72">
        <f>HYPERLINK("https://klasma.github.io/Logging_1907/artfynd/A 33231-2024 artfynd.xlsx", "A 33231-2024")</f>
        <v/>
      </c>
      <c r="T72">
        <f>HYPERLINK("https://klasma.github.io/Logging_1907/kartor/A 33231-2024 karta.png", "A 33231-2024")</f>
        <v/>
      </c>
      <c r="V72">
        <f>HYPERLINK("https://klasma.github.io/Logging_1907/klagomål/A 33231-2024 FSC-klagomål.docx", "A 33231-2024")</f>
        <v/>
      </c>
      <c r="W72">
        <f>HYPERLINK("https://klasma.github.io/Logging_1907/klagomålsmail/A 33231-2024 FSC-klagomål mail.docx", "A 33231-2024")</f>
        <v/>
      </c>
      <c r="X72">
        <f>HYPERLINK("https://klasma.github.io/Logging_1907/tillsyn/A 33231-2024 tillsynsbegäran.docx", "A 33231-2024")</f>
        <v/>
      </c>
      <c r="Y72">
        <f>HYPERLINK("https://klasma.github.io/Logging_1907/tillsynsmail/A 33231-2024 tillsynsbegäran mail.docx", "A 33231-2024")</f>
        <v/>
      </c>
    </row>
    <row r="73" ht="15" customHeight="1">
      <c r="A73" t="inlineStr">
        <is>
          <t>A 14001-2023</t>
        </is>
      </c>
      <c r="B73" s="1" t="n">
        <v>45007</v>
      </c>
      <c r="C73" s="1" t="n">
        <v>46127</v>
      </c>
      <c r="D73" t="inlineStr">
        <is>
          <t>VÄSTMANLANDS LÄN</t>
        </is>
      </c>
      <c r="E73" t="inlineStr">
        <is>
          <t>SURAHAMMAR</t>
        </is>
      </c>
      <c r="F73" t="inlineStr">
        <is>
          <t>Bergvik skog väst AB</t>
        </is>
      </c>
      <c r="G73" t="n">
        <v>1</v>
      </c>
      <c r="H73" t="n">
        <v>0</v>
      </c>
      <c r="I73" t="n">
        <v>0</v>
      </c>
      <c r="J73" t="n">
        <v>1</v>
      </c>
      <c r="K73" t="n">
        <v>0</v>
      </c>
      <c r="L73" t="n">
        <v>0</v>
      </c>
      <c r="M73" t="n">
        <v>0</v>
      </c>
      <c r="N73" t="n">
        <v>0</v>
      </c>
      <c r="O73" t="n">
        <v>1</v>
      </c>
      <c r="P73" t="n">
        <v>0</v>
      </c>
      <c r="Q73" t="n">
        <v>1</v>
      </c>
      <c r="R73" s="2" t="inlineStr">
        <is>
          <t>Motaggsvamp</t>
        </is>
      </c>
      <c r="S73">
        <f>HYPERLINK("https://klasma.github.io/Logging_1907/artfynd/A 14001-2023 artfynd.xlsx", "A 14001-2023")</f>
        <v/>
      </c>
      <c r="T73">
        <f>HYPERLINK("https://klasma.github.io/Logging_1907/kartor/A 14001-2023 karta.png", "A 14001-2023")</f>
        <v/>
      </c>
      <c r="V73">
        <f>HYPERLINK("https://klasma.github.io/Logging_1907/klagomål/A 14001-2023 FSC-klagomål.docx", "A 14001-2023")</f>
        <v/>
      </c>
      <c r="W73">
        <f>HYPERLINK("https://klasma.github.io/Logging_1907/klagomålsmail/A 14001-2023 FSC-klagomål mail.docx", "A 14001-2023")</f>
        <v/>
      </c>
      <c r="X73">
        <f>HYPERLINK("https://klasma.github.io/Logging_1907/tillsyn/A 14001-2023 tillsynsbegäran.docx", "A 14001-2023")</f>
        <v/>
      </c>
      <c r="Y73">
        <f>HYPERLINK("https://klasma.github.io/Logging_1907/tillsynsmail/A 14001-2023 tillsynsbegäran mail.docx", "A 14001-2023")</f>
        <v/>
      </c>
    </row>
    <row r="74" ht="15" customHeight="1">
      <c r="A74" t="inlineStr">
        <is>
          <t>A 13971-2023</t>
        </is>
      </c>
      <c r="B74" s="1" t="n">
        <v>45007</v>
      </c>
      <c r="C74" s="1" t="n">
        <v>46127</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31176-2024</t>
        </is>
      </c>
      <c r="B75" s="1" t="n">
        <v>45503</v>
      </c>
      <c r="C75" s="1" t="n">
        <v>46127</v>
      </c>
      <c r="D75" t="inlineStr">
        <is>
          <t>VÄSTMANLANDS LÄN</t>
        </is>
      </c>
      <c r="E75" t="inlineStr">
        <is>
          <t>SURAHAMMAR</t>
        </is>
      </c>
      <c r="F75" t="inlineStr">
        <is>
          <t>Allmännings- och besparingsskogar</t>
        </is>
      </c>
      <c r="G75" t="n">
        <v>10.7</v>
      </c>
      <c r="H75" t="n">
        <v>0</v>
      </c>
      <c r="I75" t="n">
        <v>0</v>
      </c>
      <c r="J75" t="n">
        <v>1</v>
      </c>
      <c r="K75" t="n">
        <v>0</v>
      </c>
      <c r="L75" t="n">
        <v>0</v>
      </c>
      <c r="M75" t="n">
        <v>0</v>
      </c>
      <c r="N75" t="n">
        <v>0</v>
      </c>
      <c r="O75" t="n">
        <v>1</v>
      </c>
      <c r="P75" t="n">
        <v>0</v>
      </c>
      <c r="Q75" t="n">
        <v>1</v>
      </c>
      <c r="R75" s="2" t="inlineStr">
        <is>
          <t>Doftskinn</t>
        </is>
      </c>
      <c r="S75">
        <f>HYPERLINK("https://klasma.github.io/Logging_1907/artfynd/A 31176-2024 artfynd.xlsx", "A 31176-2024")</f>
        <v/>
      </c>
      <c r="T75">
        <f>HYPERLINK("https://klasma.github.io/Logging_1907/kartor/A 31176-2024 karta.png", "A 31176-2024")</f>
        <v/>
      </c>
      <c r="V75">
        <f>HYPERLINK("https://klasma.github.io/Logging_1907/klagomål/A 31176-2024 FSC-klagomål.docx", "A 31176-2024")</f>
        <v/>
      </c>
      <c r="W75">
        <f>HYPERLINK("https://klasma.github.io/Logging_1907/klagomålsmail/A 31176-2024 FSC-klagomål mail.docx", "A 31176-2024")</f>
        <v/>
      </c>
      <c r="X75">
        <f>HYPERLINK("https://klasma.github.io/Logging_1907/tillsyn/A 31176-2024 tillsynsbegäran.docx", "A 31176-2024")</f>
        <v/>
      </c>
      <c r="Y75">
        <f>HYPERLINK("https://klasma.github.io/Logging_1907/tillsynsmail/A 31176-2024 tillsynsbegäran mail.docx", "A 31176-2024")</f>
        <v/>
      </c>
    </row>
    <row r="76" ht="15" customHeight="1">
      <c r="A76" t="inlineStr">
        <is>
          <t>A 43451-2024</t>
        </is>
      </c>
      <c r="B76" s="1" t="n">
        <v>45568</v>
      </c>
      <c r="C76" s="1" t="n">
        <v>46127</v>
      </c>
      <c r="D76" t="inlineStr">
        <is>
          <t>VÄSTMANLANDS LÄN</t>
        </is>
      </c>
      <c r="E76" t="inlineStr">
        <is>
          <t>SURAHAMMAR</t>
        </is>
      </c>
      <c r="F76" t="inlineStr">
        <is>
          <t>Bergvik skog väst AB</t>
        </is>
      </c>
      <c r="G76" t="n">
        <v>2.9</v>
      </c>
      <c r="H76" t="n">
        <v>0</v>
      </c>
      <c r="I76" t="n">
        <v>0</v>
      </c>
      <c r="J76" t="n">
        <v>1</v>
      </c>
      <c r="K76" t="n">
        <v>0</v>
      </c>
      <c r="L76" t="n">
        <v>0</v>
      </c>
      <c r="M76" t="n">
        <v>0</v>
      </c>
      <c r="N76" t="n">
        <v>0</v>
      </c>
      <c r="O76" t="n">
        <v>1</v>
      </c>
      <c r="P76" t="n">
        <v>0</v>
      </c>
      <c r="Q76" t="n">
        <v>1</v>
      </c>
      <c r="R76" s="2" t="inlineStr">
        <is>
          <t>Ullticka</t>
        </is>
      </c>
      <c r="S76">
        <f>HYPERLINK("https://klasma.github.io/Logging_1907/artfynd/A 43451-2024 artfynd.xlsx", "A 43451-2024")</f>
        <v/>
      </c>
      <c r="T76">
        <f>HYPERLINK("https://klasma.github.io/Logging_1907/kartor/A 43451-2024 karta.png", "A 43451-2024")</f>
        <v/>
      </c>
      <c r="V76">
        <f>HYPERLINK("https://klasma.github.io/Logging_1907/klagomål/A 43451-2024 FSC-klagomål.docx", "A 43451-2024")</f>
        <v/>
      </c>
      <c r="W76">
        <f>HYPERLINK("https://klasma.github.io/Logging_1907/klagomålsmail/A 43451-2024 FSC-klagomål mail.docx", "A 43451-2024")</f>
        <v/>
      </c>
      <c r="X76">
        <f>HYPERLINK("https://klasma.github.io/Logging_1907/tillsyn/A 43451-2024 tillsynsbegäran.docx", "A 43451-2024")</f>
        <v/>
      </c>
      <c r="Y76">
        <f>HYPERLINK("https://klasma.github.io/Logging_1907/tillsynsmail/A 43451-2024 tillsynsbegäran mail.docx", "A 43451-2024")</f>
        <v/>
      </c>
    </row>
    <row r="77" ht="15" customHeight="1">
      <c r="A77" t="inlineStr">
        <is>
          <t>A 64073-2021</t>
        </is>
      </c>
      <c r="B77" s="1" t="n">
        <v>44509</v>
      </c>
      <c r="C77" s="1" t="n">
        <v>46127</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46127</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46127</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46127</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46127</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46127</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46127</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46127</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46127</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46127</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46127</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46127</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46127</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46127</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46127</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46127</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46127</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48205-2023</t>
        </is>
      </c>
      <c r="B94" s="1" t="n">
        <v>45205</v>
      </c>
      <c r="C94" s="1" t="n">
        <v>46127</v>
      </c>
      <c r="D94" t="inlineStr">
        <is>
          <t>VÄSTMANLANDS LÄN</t>
        </is>
      </c>
      <c r="E94" t="inlineStr">
        <is>
          <t>SURAHAMMAR</t>
        </is>
      </c>
      <c r="F94" t="inlineStr">
        <is>
          <t>Allmännings- och besparingsskogar</t>
        </is>
      </c>
      <c r="G94" t="n">
        <v>7.6</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46127</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46127</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46127</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16608-2022</t>
        </is>
      </c>
      <c r="B98" s="1" t="n">
        <v>44672</v>
      </c>
      <c r="C98" s="1" t="n">
        <v>46127</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46127</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46127</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46127</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55868-2025</t>
        </is>
      </c>
      <c r="B102" s="1" t="n">
        <v>45973.35263888889</v>
      </c>
      <c r="C102" s="1" t="n">
        <v>46127</v>
      </c>
      <c r="D102" t="inlineStr">
        <is>
          <t>VÄSTMANLANDS LÄN</t>
        </is>
      </c>
      <c r="E102" t="inlineStr">
        <is>
          <t>SURAHAMMAR</t>
        </is>
      </c>
      <c r="F102" t="inlineStr">
        <is>
          <t>Sveaskog</t>
        </is>
      </c>
      <c r="G102" t="n">
        <v>2.8</v>
      </c>
      <c r="H102" t="n">
        <v>0</v>
      </c>
      <c r="I102" t="n">
        <v>0</v>
      </c>
      <c r="J102" t="n">
        <v>0</v>
      </c>
      <c r="K102" t="n">
        <v>0</v>
      </c>
      <c r="L102" t="n">
        <v>0</v>
      </c>
      <c r="M102" t="n">
        <v>0</v>
      </c>
      <c r="N102" t="n">
        <v>0</v>
      </c>
      <c r="O102" t="n">
        <v>0</v>
      </c>
      <c r="P102" t="n">
        <v>0</v>
      </c>
      <c r="Q102" t="n">
        <v>0</v>
      </c>
      <c r="R102" s="2" t="inlineStr"/>
    </row>
    <row r="103" ht="15" customHeight="1">
      <c r="A103" t="inlineStr">
        <is>
          <t>A 55874-2025</t>
        </is>
      </c>
      <c r="B103" s="1" t="n">
        <v>45973.3569212963</v>
      </c>
      <c r="C103" s="1" t="n">
        <v>46127</v>
      </c>
      <c r="D103" t="inlineStr">
        <is>
          <t>VÄSTMANLANDS LÄN</t>
        </is>
      </c>
      <c r="E103" t="inlineStr">
        <is>
          <t>SURAHAMMAR</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15739-2023</t>
        </is>
      </c>
      <c r="B104" s="1" t="n">
        <v>45021</v>
      </c>
      <c r="C104" s="1" t="n">
        <v>46127</v>
      </c>
      <c r="D104" t="inlineStr">
        <is>
          <t>VÄSTMANLANDS LÄN</t>
        </is>
      </c>
      <c r="E104" t="inlineStr">
        <is>
          <t>SURAHAMMAR</t>
        </is>
      </c>
      <c r="G104" t="n">
        <v>1.3</v>
      </c>
      <c r="H104" t="n">
        <v>0</v>
      </c>
      <c r="I104" t="n">
        <v>0</v>
      </c>
      <c r="J104" t="n">
        <v>0</v>
      </c>
      <c r="K104" t="n">
        <v>0</v>
      </c>
      <c r="L104" t="n">
        <v>0</v>
      </c>
      <c r="M104" t="n">
        <v>0</v>
      </c>
      <c r="N104" t="n">
        <v>0</v>
      </c>
      <c r="O104" t="n">
        <v>0</v>
      </c>
      <c r="P104" t="n">
        <v>0</v>
      </c>
      <c r="Q104" t="n">
        <v>0</v>
      </c>
      <c r="R104" s="2" t="inlineStr"/>
    </row>
    <row r="105" ht="15" customHeight="1">
      <c r="A105" t="inlineStr">
        <is>
          <t>A 55873-2025</t>
        </is>
      </c>
      <c r="B105" s="1" t="n">
        <v>45973.35608796297</v>
      </c>
      <c r="C105" s="1" t="n">
        <v>46127</v>
      </c>
      <c r="D105" t="inlineStr">
        <is>
          <t>VÄSTMANLANDS LÄN</t>
        </is>
      </c>
      <c r="E105" t="inlineStr">
        <is>
          <t>SURAHAMMAR</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38154-2021</t>
        </is>
      </c>
      <c r="B106" s="1" t="n">
        <v>44405.42373842592</v>
      </c>
      <c r="C106" s="1" t="n">
        <v>46127</v>
      </c>
      <c r="D106" t="inlineStr">
        <is>
          <t>VÄSTMANLANDS LÄN</t>
        </is>
      </c>
      <c r="E106" t="inlineStr">
        <is>
          <t>SURAHAMMAR</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7787-2024</t>
        </is>
      </c>
      <c r="B107" s="1" t="n">
        <v>45348</v>
      </c>
      <c r="C107" s="1" t="n">
        <v>46127</v>
      </c>
      <c r="D107" t="inlineStr">
        <is>
          <t>VÄSTMANLANDS LÄN</t>
        </is>
      </c>
      <c r="E107" t="inlineStr">
        <is>
          <t>SURAHAMMAR</t>
        </is>
      </c>
      <c r="G107" t="n">
        <v>1</v>
      </c>
      <c r="H107" t="n">
        <v>0</v>
      </c>
      <c r="I107" t="n">
        <v>0</v>
      </c>
      <c r="J107" t="n">
        <v>0</v>
      </c>
      <c r="K107" t="n">
        <v>0</v>
      </c>
      <c r="L107" t="n">
        <v>0</v>
      </c>
      <c r="M107" t="n">
        <v>0</v>
      </c>
      <c r="N107" t="n">
        <v>0</v>
      </c>
      <c r="O107" t="n">
        <v>0</v>
      </c>
      <c r="P107" t="n">
        <v>0</v>
      </c>
      <c r="Q107" t="n">
        <v>0</v>
      </c>
      <c r="R107" s="2" t="inlineStr"/>
    </row>
    <row r="108" ht="15" customHeight="1">
      <c r="A108" t="inlineStr">
        <is>
          <t>A 42088-2025</t>
        </is>
      </c>
      <c r="B108" s="1" t="n">
        <v>45902</v>
      </c>
      <c r="C108" s="1" t="n">
        <v>46127</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56543-2025</t>
        </is>
      </c>
      <c r="B109" s="1" t="n">
        <v>45975</v>
      </c>
      <c r="C109" s="1" t="n">
        <v>46127</v>
      </c>
      <c r="D109" t="inlineStr">
        <is>
          <t>VÄSTMANLANDS LÄN</t>
        </is>
      </c>
      <c r="E109" t="inlineStr">
        <is>
          <t>SURAHAMMAR</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31107-2025</t>
        </is>
      </c>
      <c r="B110" s="1" t="n">
        <v>45831</v>
      </c>
      <c r="C110" s="1" t="n">
        <v>46127</v>
      </c>
      <c r="D110" t="inlineStr">
        <is>
          <t>VÄSTMANLANDS LÄN</t>
        </is>
      </c>
      <c r="E110" t="inlineStr">
        <is>
          <t>SURAHAMMAR</t>
        </is>
      </c>
      <c r="F110" t="inlineStr">
        <is>
          <t>Kommuner</t>
        </is>
      </c>
      <c r="G110" t="n">
        <v>1.7</v>
      </c>
      <c r="H110" t="n">
        <v>0</v>
      </c>
      <c r="I110" t="n">
        <v>0</v>
      </c>
      <c r="J110" t="n">
        <v>0</v>
      </c>
      <c r="K110" t="n">
        <v>0</v>
      </c>
      <c r="L110" t="n">
        <v>0</v>
      </c>
      <c r="M110" t="n">
        <v>0</v>
      </c>
      <c r="N110" t="n">
        <v>0</v>
      </c>
      <c r="O110" t="n">
        <v>0</v>
      </c>
      <c r="P110" t="n">
        <v>0</v>
      </c>
      <c r="Q110" t="n">
        <v>0</v>
      </c>
      <c r="R110" s="2" t="inlineStr"/>
    </row>
    <row r="111" ht="15" customHeight="1">
      <c r="A111" t="inlineStr">
        <is>
          <t>A 43249-2025</t>
        </is>
      </c>
      <c r="B111" s="1" t="n">
        <v>45910.55059027778</v>
      </c>
      <c r="C111" s="1" t="n">
        <v>46127</v>
      </c>
      <c r="D111" t="inlineStr">
        <is>
          <t>VÄSTMANLANDS LÄN</t>
        </is>
      </c>
      <c r="E111" t="inlineStr">
        <is>
          <t>SURAHAMMAR</t>
        </is>
      </c>
      <c r="G111" t="n">
        <v>1.9</v>
      </c>
      <c r="H111" t="n">
        <v>0</v>
      </c>
      <c r="I111" t="n">
        <v>0</v>
      </c>
      <c r="J111" t="n">
        <v>0</v>
      </c>
      <c r="K111" t="n">
        <v>0</v>
      </c>
      <c r="L111" t="n">
        <v>0</v>
      </c>
      <c r="M111" t="n">
        <v>0</v>
      </c>
      <c r="N111" t="n">
        <v>0</v>
      </c>
      <c r="O111" t="n">
        <v>0</v>
      </c>
      <c r="P111" t="n">
        <v>0</v>
      </c>
      <c r="Q111" t="n">
        <v>0</v>
      </c>
      <c r="R111" s="2" t="inlineStr"/>
    </row>
    <row r="112" ht="15" customHeight="1">
      <c r="A112" t="inlineStr">
        <is>
          <t>A 43255-2025</t>
        </is>
      </c>
      <c r="B112" s="1" t="n">
        <v>45910.55325231481</v>
      </c>
      <c r="C112" s="1" t="n">
        <v>46127</v>
      </c>
      <c r="D112" t="inlineStr">
        <is>
          <t>VÄSTMANLANDS LÄN</t>
        </is>
      </c>
      <c r="E112" t="inlineStr">
        <is>
          <t>SURAHAMMAR</t>
        </is>
      </c>
      <c r="G112" t="n">
        <v>1.9</v>
      </c>
      <c r="H112" t="n">
        <v>0</v>
      </c>
      <c r="I112" t="n">
        <v>0</v>
      </c>
      <c r="J112" t="n">
        <v>0</v>
      </c>
      <c r="K112" t="n">
        <v>0</v>
      </c>
      <c r="L112" t="n">
        <v>0</v>
      </c>
      <c r="M112" t="n">
        <v>0</v>
      </c>
      <c r="N112" t="n">
        <v>0</v>
      </c>
      <c r="O112" t="n">
        <v>0</v>
      </c>
      <c r="P112" t="n">
        <v>0</v>
      </c>
      <c r="Q112" t="n">
        <v>0</v>
      </c>
      <c r="R112" s="2" t="inlineStr"/>
    </row>
    <row r="113" ht="15" customHeight="1">
      <c r="A113" t="inlineStr">
        <is>
          <t>A 37287-2023</t>
        </is>
      </c>
      <c r="B113" s="1" t="n">
        <v>45156</v>
      </c>
      <c r="C113" s="1" t="n">
        <v>46127</v>
      </c>
      <c r="D113" t="inlineStr">
        <is>
          <t>VÄSTMANLANDS LÄN</t>
        </is>
      </c>
      <c r="E113" t="inlineStr">
        <is>
          <t>SURAHAMMAR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72367-2021</t>
        </is>
      </c>
      <c r="B114" s="1" t="n">
        <v>44545</v>
      </c>
      <c r="C114" s="1" t="n">
        <v>46127</v>
      </c>
      <c r="D114" t="inlineStr">
        <is>
          <t>VÄSTMANLANDS LÄN</t>
        </is>
      </c>
      <c r="E114" t="inlineStr">
        <is>
          <t>SURAHAMMAR</t>
        </is>
      </c>
      <c r="G114" t="n">
        <v>2.5</v>
      </c>
      <c r="H114" t="n">
        <v>0</v>
      </c>
      <c r="I114" t="n">
        <v>0</v>
      </c>
      <c r="J114" t="n">
        <v>0</v>
      </c>
      <c r="K114" t="n">
        <v>0</v>
      </c>
      <c r="L114" t="n">
        <v>0</v>
      </c>
      <c r="M114" t="n">
        <v>0</v>
      </c>
      <c r="N114" t="n">
        <v>0</v>
      </c>
      <c r="O114" t="n">
        <v>0</v>
      </c>
      <c r="P114" t="n">
        <v>0</v>
      </c>
      <c r="Q114" t="n">
        <v>0</v>
      </c>
      <c r="R114" s="2" t="inlineStr"/>
    </row>
    <row r="115" ht="15" customHeight="1">
      <c r="A115" t="inlineStr">
        <is>
          <t>A 33931-2022</t>
        </is>
      </c>
      <c r="B115" s="1" t="n">
        <v>44790.65153935185</v>
      </c>
      <c r="C115" s="1" t="n">
        <v>46127</v>
      </c>
      <c r="D115" t="inlineStr">
        <is>
          <t>VÄSTMANLANDS LÄN</t>
        </is>
      </c>
      <c r="E115" t="inlineStr">
        <is>
          <t>SURAHAMMAR</t>
        </is>
      </c>
      <c r="G115" t="n">
        <v>2.2</v>
      </c>
      <c r="H115" t="n">
        <v>0</v>
      </c>
      <c r="I115" t="n">
        <v>0</v>
      </c>
      <c r="J115" t="n">
        <v>0</v>
      </c>
      <c r="K115" t="n">
        <v>0</v>
      </c>
      <c r="L115" t="n">
        <v>0</v>
      </c>
      <c r="M115" t="n">
        <v>0</v>
      </c>
      <c r="N115" t="n">
        <v>0</v>
      </c>
      <c r="O115" t="n">
        <v>0</v>
      </c>
      <c r="P115" t="n">
        <v>0</v>
      </c>
      <c r="Q115" t="n">
        <v>0</v>
      </c>
      <c r="R115" s="2" t="inlineStr"/>
    </row>
    <row r="116" ht="15" customHeight="1">
      <c r="A116" t="inlineStr">
        <is>
          <t>A 34584-2025</t>
        </is>
      </c>
      <c r="B116" s="1" t="n">
        <v>45846</v>
      </c>
      <c r="C116" s="1" t="n">
        <v>46127</v>
      </c>
      <c r="D116" t="inlineStr">
        <is>
          <t>VÄSTMANLANDS LÄN</t>
        </is>
      </c>
      <c r="E116" t="inlineStr">
        <is>
          <t>SURAHAMMAR</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59399-2025</t>
        </is>
      </c>
      <c r="B117" s="1" t="n">
        <v>45989</v>
      </c>
      <c r="C117" s="1" t="n">
        <v>46127</v>
      </c>
      <c r="D117" t="inlineStr">
        <is>
          <t>VÄSTMANLANDS LÄN</t>
        </is>
      </c>
      <c r="E117" t="inlineStr">
        <is>
          <t>SURAHAMMAR</t>
        </is>
      </c>
      <c r="F117" t="inlineStr">
        <is>
          <t>Kommuner</t>
        </is>
      </c>
      <c r="G117" t="n">
        <v>2.1</v>
      </c>
      <c r="H117" t="n">
        <v>0</v>
      </c>
      <c r="I117" t="n">
        <v>0</v>
      </c>
      <c r="J117" t="n">
        <v>0</v>
      </c>
      <c r="K117" t="n">
        <v>0</v>
      </c>
      <c r="L117" t="n">
        <v>0</v>
      </c>
      <c r="M117" t="n">
        <v>0</v>
      </c>
      <c r="N117" t="n">
        <v>0</v>
      </c>
      <c r="O117" t="n">
        <v>0</v>
      </c>
      <c r="P117" t="n">
        <v>0</v>
      </c>
      <c r="Q117" t="n">
        <v>0</v>
      </c>
      <c r="R117" s="2" t="inlineStr"/>
    </row>
    <row r="118" ht="15" customHeight="1">
      <c r="A118" t="inlineStr">
        <is>
          <t>A 32916-2025</t>
        </is>
      </c>
      <c r="B118" s="1" t="n">
        <v>45839</v>
      </c>
      <c r="C118" s="1" t="n">
        <v>46127</v>
      </c>
      <c r="D118" t="inlineStr">
        <is>
          <t>VÄSTMANLANDS LÄN</t>
        </is>
      </c>
      <c r="E118" t="inlineStr">
        <is>
          <t>SURAHAMMAR</t>
        </is>
      </c>
      <c r="F118" t="inlineStr">
        <is>
          <t>Kommuner</t>
        </is>
      </c>
      <c r="G118" t="n">
        <v>4.9</v>
      </c>
      <c r="H118" t="n">
        <v>0</v>
      </c>
      <c r="I118" t="n">
        <v>0</v>
      </c>
      <c r="J118" t="n">
        <v>0</v>
      </c>
      <c r="K118" t="n">
        <v>0</v>
      </c>
      <c r="L118" t="n">
        <v>0</v>
      </c>
      <c r="M118" t="n">
        <v>0</v>
      </c>
      <c r="N118" t="n">
        <v>0</v>
      </c>
      <c r="O118" t="n">
        <v>0</v>
      </c>
      <c r="P118" t="n">
        <v>0</v>
      </c>
      <c r="Q118" t="n">
        <v>0</v>
      </c>
      <c r="R118" s="2" t="inlineStr"/>
    </row>
    <row r="119" ht="15" customHeight="1">
      <c r="A119" t="inlineStr">
        <is>
          <t>A 32910-2025</t>
        </is>
      </c>
      <c r="B119" s="1" t="n">
        <v>45839</v>
      </c>
      <c r="C119" s="1" t="n">
        <v>46127</v>
      </c>
      <c r="D119" t="inlineStr">
        <is>
          <t>VÄSTMANLANDS LÄN</t>
        </is>
      </c>
      <c r="E119" t="inlineStr">
        <is>
          <t>SURAHAMMAR</t>
        </is>
      </c>
      <c r="F119" t="inlineStr">
        <is>
          <t>Kommuner</t>
        </is>
      </c>
      <c r="G119" t="n">
        <v>1.1</v>
      </c>
      <c r="H119" t="n">
        <v>0</v>
      </c>
      <c r="I119" t="n">
        <v>0</v>
      </c>
      <c r="J119" t="n">
        <v>0</v>
      </c>
      <c r="K119" t="n">
        <v>0</v>
      </c>
      <c r="L119" t="n">
        <v>0</v>
      </c>
      <c r="M119" t="n">
        <v>0</v>
      </c>
      <c r="N119" t="n">
        <v>0</v>
      </c>
      <c r="O119" t="n">
        <v>0</v>
      </c>
      <c r="P119" t="n">
        <v>0</v>
      </c>
      <c r="Q119" t="n">
        <v>0</v>
      </c>
      <c r="R119" s="2" t="inlineStr"/>
    </row>
    <row r="120" ht="15" customHeight="1">
      <c r="A120" t="inlineStr">
        <is>
          <t>A 24158-2023</t>
        </is>
      </c>
      <c r="B120" s="1" t="n">
        <v>45079</v>
      </c>
      <c r="C120" s="1" t="n">
        <v>46127</v>
      </c>
      <c r="D120" t="inlineStr">
        <is>
          <t>VÄSTMANLANDS LÄN</t>
        </is>
      </c>
      <c r="E120" t="inlineStr">
        <is>
          <t>SURAHAMMAR</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42714-2022</t>
        </is>
      </c>
      <c r="B121" s="1" t="n">
        <v>44832</v>
      </c>
      <c r="C121" s="1" t="n">
        <v>46127</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37013-2025</t>
        </is>
      </c>
      <c r="B122" s="1" t="n">
        <v>45874</v>
      </c>
      <c r="C122" s="1" t="n">
        <v>46127</v>
      </c>
      <c r="D122" t="inlineStr">
        <is>
          <t>VÄSTMANLANDS LÄN</t>
        </is>
      </c>
      <c r="E122" t="inlineStr">
        <is>
          <t>SURAHAMMAR</t>
        </is>
      </c>
      <c r="F122" t="inlineStr">
        <is>
          <t>Bergvik skog väst AB</t>
        </is>
      </c>
      <c r="G122" t="n">
        <v>10.7</v>
      </c>
      <c r="H122" t="n">
        <v>0</v>
      </c>
      <c r="I122" t="n">
        <v>0</v>
      </c>
      <c r="J122" t="n">
        <v>0</v>
      </c>
      <c r="K122" t="n">
        <v>0</v>
      </c>
      <c r="L122" t="n">
        <v>0</v>
      </c>
      <c r="M122" t="n">
        <v>0</v>
      </c>
      <c r="N122" t="n">
        <v>0</v>
      </c>
      <c r="O122" t="n">
        <v>0</v>
      </c>
      <c r="P122" t="n">
        <v>0</v>
      </c>
      <c r="Q122" t="n">
        <v>0</v>
      </c>
      <c r="R122" s="2" t="inlineStr"/>
    </row>
    <row r="123" ht="15" customHeight="1">
      <c r="A123" t="inlineStr">
        <is>
          <t>A 35682-2022</t>
        </is>
      </c>
      <c r="B123" s="1" t="n">
        <v>44799.60422453703</v>
      </c>
      <c r="C123" s="1" t="n">
        <v>46127</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11728-2023</t>
        </is>
      </c>
      <c r="B124" s="1" t="n">
        <v>44993</v>
      </c>
      <c r="C124" s="1" t="n">
        <v>46127</v>
      </c>
      <c r="D124" t="inlineStr">
        <is>
          <t>VÄSTMANLANDS LÄN</t>
        </is>
      </c>
      <c r="E124" t="inlineStr">
        <is>
          <t>SURAHAMMAR</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46127</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5567-2022</t>
        </is>
      </c>
      <c r="B126" s="1" t="n">
        <v>44595</v>
      </c>
      <c r="C126" s="1" t="n">
        <v>46127</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56541-2025</t>
        </is>
      </c>
      <c r="B127" s="1" t="n">
        <v>45975</v>
      </c>
      <c r="C127" s="1" t="n">
        <v>46127</v>
      </c>
      <c r="D127" t="inlineStr">
        <is>
          <t>VÄSTMANLANDS LÄN</t>
        </is>
      </c>
      <c r="E127" t="inlineStr">
        <is>
          <t>SURAHAMMAR</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42832-2022</t>
        </is>
      </c>
      <c r="B128" s="1" t="n">
        <v>44832</v>
      </c>
      <c r="C128" s="1" t="n">
        <v>46127</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24665-2023</t>
        </is>
      </c>
      <c r="B129" s="1" t="n">
        <v>45084.48592592592</v>
      </c>
      <c r="C129" s="1" t="n">
        <v>46127</v>
      </c>
      <c r="D129" t="inlineStr">
        <is>
          <t>VÄSTMANLANDS LÄN</t>
        </is>
      </c>
      <c r="E129" t="inlineStr">
        <is>
          <t>SURAHAMMAR</t>
        </is>
      </c>
      <c r="G129" t="n">
        <v>0.9</v>
      </c>
      <c r="H129" t="n">
        <v>0</v>
      </c>
      <c r="I129" t="n">
        <v>0</v>
      </c>
      <c r="J129" t="n">
        <v>0</v>
      </c>
      <c r="K129" t="n">
        <v>0</v>
      </c>
      <c r="L129" t="n">
        <v>0</v>
      </c>
      <c r="M129" t="n">
        <v>0</v>
      </c>
      <c r="N129" t="n">
        <v>0</v>
      </c>
      <c r="O129" t="n">
        <v>0</v>
      </c>
      <c r="P129" t="n">
        <v>0</v>
      </c>
      <c r="Q129" t="n">
        <v>0</v>
      </c>
      <c r="R129" s="2" t="inlineStr"/>
    </row>
    <row r="130" ht="15" customHeight="1">
      <c r="A130" t="inlineStr">
        <is>
          <t>A 32808-2024</t>
        </is>
      </c>
      <c r="B130" s="1" t="n">
        <v>45516</v>
      </c>
      <c r="C130" s="1" t="n">
        <v>46127</v>
      </c>
      <c r="D130" t="inlineStr">
        <is>
          <t>VÄSTMANLANDS LÄN</t>
        </is>
      </c>
      <c r="E130" t="inlineStr">
        <is>
          <t>SURAHAMMAR</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42841-2022</t>
        </is>
      </c>
      <c r="B131" s="1" t="n">
        <v>44832</v>
      </c>
      <c r="C131" s="1" t="n">
        <v>46127</v>
      </c>
      <c r="D131" t="inlineStr">
        <is>
          <t>VÄSTMANLANDS LÄN</t>
        </is>
      </c>
      <c r="E131" t="inlineStr">
        <is>
          <t>SURAHAMMAR</t>
        </is>
      </c>
      <c r="G131" t="n">
        <v>1.8</v>
      </c>
      <c r="H131" t="n">
        <v>0</v>
      </c>
      <c r="I131" t="n">
        <v>0</v>
      </c>
      <c r="J131" t="n">
        <v>0</v>
      </c>
      <c r="K131" t="n">
        <v>0</v>
      </c>
      <c r="L131" t="n">
        <v>0</v>
      </c>
      <c r="M131" t="n">
        <v>0</v>
      </c>
      <c r="N131" t="n">
        <v>0</v>
      </c>
      <c r="O131" t="n">
        <v>0</v>
      </c>
      <c r="P131" t="n">
        <v>0</v>
      </c>
      <c r="Q131" t="n">
        <v>0</v>
      </c>
      <c r="R131" s="2" t="inlineStr"/>
    </row>
    <row r="132" ht="15" customHeight="1">
      <c r="A132" t="inlineStr">
        <is>
          <t>A 42829-2022</t>
        </is>
      </c>
      <c r="B132" s="1" t="n">
        <v>44832</v>
      </c>
      <c r="C132" s="1" t="n">
        <v>46127</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63138-2025</t>
        </is>
      </c>
      <c r="B133" s="1" t="n">
        <v>46009</v>
      </c>
      <c r="C133" s="1" t="n">
        <v>46127</v>
      </c>
      <c r="D133" t="inlineStr">
        <is>
          <t>VÄSTMANLANDS LÄN</t>
        </is>
      </c>
      <c r="E133" t="inlineStr">
        <is>
          <t>SURAHAMMAR</t>
        </is>
      </c>
      <c r="F133" t="inlineStr">
        <is>
          <t>Bergvik skog väst AB</t>
        </is>
      </c>
      <c r="G133" t="n">
        <v>2.5</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46127</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3085-2023</t>
        </is>
      </c>
      <c r="B135" s="1" t="n">
        <v>44946</v>
      </c>
      <c r="C135" s="1" t="n">
        <v>46127</v>
      </c>
      <c r="D135" t="inlineStr">
        <is>
          <t>VÄSTMANLANDS LÄN</t>
        </is>
      </c>
      <c r="E135" t="inlineStr">
        <is>
          <t>SURAHAMMAR</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49058-2024</t>
        </is>
      </c>
      <c r="B136" s="1" t="n">
        <v>45594</v>
      </c>
      <c r="C136" s="1" t="n">
        <v>46127</v>
      </c>
      <c r="D136" t="inlineStr">
        <is>
          <t>VÄSTMANLANDS LÄN</t>
        </is>
      </c>
      <c r="E136" t="inlineStr">
        <is>
          <t>SURAHAMMAR</t>
        </is>
      </c>
      <c r="F136" t="inlineStr">
        <is>
          <t>Sveaskog</t>
        </is>
      </c>
      <c r="G136" t="n">
        <v>11.4</v>
      </c>
      <c r="H136" t="n">
        <v>0</v>
      </c>
      <c r="I136" t="n">
        <v>0</v>
      </c>
      <c r="J136" t="n">
        <v>0</v>
      </c>
      <c r="K136" t="n">
        <v>0</v>
      </c>
      <c r="L136" t="n">
        <v>0</v>
      </c>
      <c r="M136" t="n">
        <v>0</v>
      </c>
      <c r="N136" t="n">
        <v>0</v>
      </c>
      <c r="O136" t="n">
        <v>0</v>
      </c>
      <c r="P136" t="n">
        <v>0</v>
      </c>
      <c r="Q136" t="n">
        <v>0</v>
      </c>
      <c r="R136" s="2" t="inlineStr"/>
    </row>
    <row r="137" ht="15" customHeight="1">
      <c r="A137" t="inlineStr">
        <is>
          <t>A 49060-2024</t>
        </is>
      </c>
      <c r="B137" s="1" t="n">
        <v>45594</v>
      </c>
      <c r="C137" s="1" t="n">
        <v>46127</v>
      </c>
      <c r="D137" t="inlineStr">
        <is>
          <t>VÄSTMANLANDS LÄN</t>
        </is>
      </c>
      <c r="E137" t="inlineStr">
        <is>
          <t>SURAHAMMAR</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34955-2022</t>
        </is>
      </c>
      <c r="B138" s="1" t="n">
        <v>44796</v>
      </c>
      <c r="C138" s="1" t="n">
        <v>46127</v>
      </c>
      <c r="D138" t="inlineStr">
        <is>
          <t>VÄSTMANLANDS LÄN</t>
        </is>
      </c>
      <c r="E138" t="inlineStr">
        <is>
          <t>SURAHAMMAR</t>
        </is>
      </c>
      <c r="F138" t="inlineStr">
        <is>
          <t>Sveaskog</t>
        </is>
      </c>
      <c r="G138" t="n">
        <v>4.6</v>
      </c>
      <c r="H138" t="n">
        <v>0</v>
      </c>
      <c r="I138" t="n">
        <v>0</v>
      </c>
      <c r="J138" t="n">
        <v>0</v>
      </c>
      <c r="K138" t="n">
        <v>0</v>
      </c>
      <c r="L138" t="n">
        <v>0</v>
      </c>
      <c r="M138" t="n">
        <v>0</v>
      </c>
      <c r="N138" t="n">
        <v>0</v>
      </c>
      <c r="O138" t="n">
        <v>0</v>
      </c>
      <c r="P138" t="n">
        <v>0</v>
      </c>
      <c r="Q138" t="n">
        <v>0</v>
      </c>
      <c r="R138" s="2" t="inlineStr"/>
    </row>
    <row r="139" ht="15" customHeight="1">
      <c r="A139" t="inlineStr">
        <is>
          <t>A 20904-2023</t>
        </is>
      </c>
      <c r="B139" s="1" t="n">
        <v>45060</v>
      </c>
      <c r="C139" s="1" t="n">
        <v>46127</v>
      </c>
      <c r="D139" t="inlineStr">
        <is>
          <t>VÄSTMANLANDS LÄN</t>
        </is>
      </c>
      <c r="E139" t="inlineStr">
        <is>
          <t>SURAHAMMAR</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4724-2026</t>
        </is>
      </c>
      <c r="B140" s="1" t="n">
        <v>46048</v>
      </c>
      <c r="C140" s="1" t="n">
        <v>46127</v>
      </c>
      <c r="D140" t="inlineStr">
        <is>
          <t>VÄSTMANLANDS LÄN</t>
        </is>
      </c>
      <c r="E140" t="inlineStr">
        <is>
          <t>SURAHAMMAR</t>
        </is>
      </c>
      <c r="G140" t="n">
        <v>1.7</v>
      </c>
      <c r="H140" t="n">
        <v>0</v>
      </c>
      <c r="I140" t="n">
        <v>0</v>
      </c>
      <c r="J140" t="n">
        <v>0</v>
      </c>
      <c r="K140" t="n">
        <v>0</v>
      </c>
      <c r="L140" t="n">
        <v>0</v>
      </c>
      <c r="M140" t="n">
        <v>0</v>
      </c>
      <c r="N140" t="n">
        <v>0</v>
      </c>
      <c r="O140" t="n">
        <v>0</v>
      </c>
      <c r="P140" t="n">
        <v>0</v>
      </c>
      <c r="Q140" t="n">
        <v>0</v>
      </c>
      <c r="R140" s="2" t="inlineStr"/>
    </row>
    <row r="141" ht="15" customHeight="1">
      <c r="A141" t="inlineStr">
        <is>
          <t>A 4734-2026</t>
        </is>
      </c>
      <c r="B141" s="1" t="n">
        <v>46048</v>
      </c>
      <c r="C141" s="1" t="n">
        <v>46127</v>
      </c>
      <c r="D141" t="inlineStr">
        <is>
          <t>VÄSTMANLANDS LÄN</t>
        </is>
      </c>
      <c r="E141" t="inlineStr">
        <is>
          <t>SURAHAMMAR</t>
        </is>
      </c>
      <c r="G141" t="n">
        <v>0.7</v>
      </c>
      <c r="H141" t="n">
        <v>0</v>
      </c>
      <c r="I141" t="n">
        <v>0</v>
      </c>
      <c r="J141" t="n">
        <v>0</v>
      </c>
      <c r="K141" t="n">
        <v>0</v>
      </c>
      <c r="L141" t="n">
        <v>0</v>
      </c>
      <c r="M141" t="n">
        <v>0</v>
      </c>
      <c r="N141" t="n">
        <v>0</v>
      </c>
      <c r="O141" t="n">
        <v>0</v>
      </c>
      <c r="P141" t="n">
        <v>0</v>
      </c>
      <c r="Q141" t="n">
        <v>0</v>
      </c>
      <c r="R141" s="2" t="inlineStr"/>
    </row>
    <row r="142" ht="15" customHeight="1">
      <c r="A142" t="inlineStr">
        <is>
          <t>A 10883-2023</t>
        </is>
      </c>
      <c r="B142" s="1" t="n">
        <v>44991</v>
      </c>
      <c r="C142" s="1" t="n">
        <v>46127</v>
      </c>
      <c r="D142" t="inlineStr">
        <is>
          <t>VÄSTMANLANDS LÄN</t>
        </is>
      </c>
      <c r="E142" t="inlineStr">
        <is>
          <t>SURAHAMMAR</t>
        </is>
      </c>
      <c r="F142" t="inlineStr">
        <is>
          <t>Övriga Aktiebolag</t>
        </is>
      </c>
      <c r="G142" t="n">
        <v>12.5</v>
      </c>
      <c r="H142" t="n">
        <v>0</v>
      </c>
      <c r="I142" t="n">
        <v>0</v>
      </c>
      <c r="J142" t="n">
        <v>0</v>
      </c>
      <c r="K142" t="n">
        <v>0</v>
      </c>
      <c r="L142" t="n">
        <v>0</v>
      </c>
      <c r="M142" t="n">
        <v>0</v>
      </c>
      <c r="N142" t="n">
        <v>0</v>
      </c>
      <c r="O142" t="n">
        <v>0</v>
      </c>
      <c r="P142" t="n">
        <v>0</v>
      </c>
      <c r="Q142" t="n">
        <v>0</v>
      </c>
      <c r="R142" s="2" t="inlineStr"/>
    </row>
    <row r="143" ht="15" customHeight="1">
      <c r="A143" t="inlineStr">
        <is>
          <t>A 5696-2026</t>
        </is>
      </c>
      <c r="B143" s="1" t="n">
        <v>46051.4975</v>
      </c>
      <c r="C143" s="1" t="n">
        <v>46127</v>
      </c>
      <c r="D143" t="inlineStr">
        <is>
          <t>VÄSTMANLANDS LÄN</t>
        </is>
      </c>
      <c r="E143" t="inlineStr">
        <is>
          <t>SURAHAMMAR</t>
        </is>
      </c>
      <c r="F143" t="inlineStr">
        <is>
          <t>Sveaskog</t>
        </is>
      </c>
      <c r="G143" t="n">
        <v>10.4</v>
      </c>
      <c r="H143" t="n">
        <v>0</v>
      </c>
      <c r="I143" t="n">
        <v>0</v>
      </c>
      <c r="J143" t="n">
        <v>0</v>
      </c>
      <c r="K143" t="n">
        <v>0</v>
      </c>
      <c r="L143" t="n">
        <v>0</v>
      </c>
      <c r="M143" t="n">
        <v>0</v>
      </c>
      <c r="N143" t="n">
        <v>0</v>
      </c>
      <c r="O143" t="n">
        <v>0</v>
      </c>
      <c r="P143" t="n">
        <v>0</v>
      </c>
      <c r="Q143" t="n">
        <v>0</v>
      </c>
      <c r="R143" s="2" t="inlineStr"/>
    </row>
    <row r="144" ht="15" customHeight="1">
      <c r="A144" t="inlineStr">
        <is>
          <t>A 5697-2026</t>
        </is>
      </c>
      <c r="B144" s="1" t="n">
        <v>46051.50020833333</v>
      </c>
      <c r="C144" s="1" t="n">
        <v>46127</v>
      </c>
      <c r="D144" t="inlineStr">
        <is>
          <t>VÄSTMANLANDS LÄN</t>
        </is>
      </c>
      <c r="E144" t="inlineStr">
        <is>
          <t>SURAHAMMAR</t>
        </is>
      </c>
      <c r="F144" t="inlineStr">
        <is>
          <t>Sveaskog</t>
        </is>
      </c>
      <c r="G144" t="n">
        <v>3</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46127</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12841-2026</t>
        </is>
      </c>
      <c r="B146" s="1" t="n">
        <v>46091</v>
      </c>
      <c r="C146" s="1" t="n">
        <v>46127</v>
      </c>
      <c r="D146" t="inlineStr">
        <is>
          <t>VÄSTMANLANDS LÄN</t>
        </is>
      </c>
      <c r="E146" t="inlineStr">
        <is>
          <t>SURAHAMMAR</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5698-2026</t>
        </is>
      </c>
      <c r="B147" s="1" t="n">
        <v>46051.50196759259</v>
      </c>
      <c r="C147" s="1" t="n">
        <v>46127</v>
      </c>
      <c r="D147" t="inlineStr">
        <is>
          <t>VÄSTMANLANDS LÄN</t>
        </is>
      </c>
      <c r="E147" t="inlineStr">
        <is>
          <t>SURAHAMMAR</t>
        </is>
      </c>
      <c r="F147" t="inlineStr">
        <is>
          <t>Sveaskog</t>
        </is>
      </c>
      <c r="G147" t="n">
        <v>1.9</v>
      </c>
      <c r="H147" t="n">
        <v>0</v>
      </c>
      <c r="I147" t="n">
        <v>0</v>
      </c>
      <c r="J147" t="n">
        <v>0</v>
      </c>
      <c r="K147" t="n">
        <v>0</v>
      </c>
      <c r="L147" t="n">
        <v>0</v>
      </c>
      <c r="M147" t="n">
        <v>0</v>
      </c>
      <c r="N147" t="n">
        <v>0</v>
      </c>
      <c r="O147" t="n">
        <v>0</v>
      </c>
      <c r="P147" t="n">
        <v>0</v>
      </c>
      <c r="Q147" t="n">
        <v>0</v>
      </c>
      <c r="R147" s="2" t="inlineStr"/>
    </row>
    <row r="148" ht="15" customHeight="1">
      <c r="A148" t="inlineStr">
        <is>
          <t>A 14626-2023</t>
        </is>
      </c>
      <c r="B148" s="1" t="n">
        <v>45012</v>
      </c>
      <c r="C148" s="1" t="n">
        <v>46127</v>
      </c>
      <c r="D148" t="inlineStr">
        <is>
          <t>VÄSTMANLANDS LÄN</t>
        </is>
      </c>
      <c r="E148" t="inlineStr">
        <is>
          <t>SURAHAMMAR</t>
        </is>
      </c>
      <c r="F148" t="inlineStr">
        <is>
          <t>Bergvik skog väst AB</t>
        </is>
      </c>
      <c r="G148" t="n">
        <v>5</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46127</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10512-2026</t>
        </is>
      </c>
      <c r="B150" s="1" t="n">
        <v>46077.56861111111</v>
      </c>
      <c r="C150" s="1" t="n">
        <v>46127</v>
      </c>
      <c r="D150" t="inlineStr">
        <is>
          <t>VÄSTMANLANDS LÄN</t>
        </is>
      </c>
      <c r="E150" t="inlineStr">
        <is>
          <t>SURAHAMMAR</t>
        </is>
      </c>
      <c r="F150" t="inlineStr">
        <is>
          <t>Övriga Aktiebolag</t>
        </is>
      </c>
      <c r="G150" t="n">
        <v>4.3</v>
      </c>
      <c r="H150" t="n">
        <v>0</v>
      </c>
      <c r="I150" t="n">
        <v>0</v>
      </c>
      <c r="J150" t="n">
        <v>0</v>
      </c>
      <c r="K150" t="n">
        <v>0</v>
      </c>
      <c r="L150" t="n">
        <v>0</v>
      </c>
      <c r="M150" t="n">
        <v>0</v>
      </c>
      <c r="N150" t="n">
        <v>0</v>
      </c>
      <c r="O150" t="n">
        <v>0</v>
      </c>
      <c r="P150" t="n">
        <v>0</v>
      </c>
      <c r="Q150" t="n">
        <v>0</v>
      </c>
      <c r="R150" s="2" t="inlineStr"/>
    </row>
    <row r="151" ht="15" customHeight="1">
      <c r="A151" t="inlineStr">
        <is>
          <t>A 25450-2024</t>
        </is>
      </c>
      <c r="B151" s="1" t="n">
        <v>45463</v>
      </c>
      <c r="C151" s="1" t="n">
        <v>46127</v>
      </c>
      <c r="D151" t="inlineStr">
        <is>
          <t>VÄSTMANLANDS LÄN</t>
        </is>
      </c>
      <c r="E151" t="inlineStr">
        <is>
          <t>SURAHAMMAR</t>
        </is>
      </c>
      <c r="F151" t="inlineStr">
        <is>
          <t>Bergvik skog väst AB</t>
        </is>
      </c>
      <c r="G151" t="n">
        <v>2.4</v>
      </c>
      <c r="H151" t="n">
        <v>0</v>
      </c>
      <c r="I151" t="n">
        <v>0</v>
      </c>
      <c r="J151" t="n">
        <v>0</v>
      </c>
      <c r="K151" t="n">
        <v>0</v>
      </c>
      <c r="L151" t="n">
        <v>0</v>
      </c>
      <c r="M151" t="n">
        <v>0</v>
      </c>
      <c r="N151" t="n">
        <v>0</v>
      </c>
      <c r="O151" t="n">
        <v>0</v>
      </c>
      <c r="P151" t="n">
        <v>0</v>
      </c>
      <c r="Q151" t="n">
        <v>0</v>
      </c>
      <c r="R151" s="2" t="inlineStr"/>
    </row>
    <row r="152" ht="15" customHeight="1">
      <c r="A152" t="inlineStr">
        <is>
          <t>A 10249-2026</t>
        </is>
      </c>
      <c r="B152" s="1" t="n">
        <v>46076.55456018518</v>
      </c>
      <c r="C152" s="1" t="n">
        <v>46127</v>
      </c>
      <c r="D152" t="inlineStr">
        <is>
          <t>VÄSTMANLANDS LÄN</t>
        </is>
      </c>
      <c r="E152" t="inlineStr">
        <is>
          <t>SURAHAMMAR</t>
        </is>
      </c>
      <c r="F152" t="inlineStr">
        <is>
          <t>Allmännings- och besparingsskogar</t>
        </is>
      </c>
      <c r="G152" t="n">
        <v>4.8</v>
      </c>
      <c r="H152" t="n">
        <v>0</v>
      </c>
      <c r="I152" t="n">
        <v>0</v>
      </c>
      <c r="J152" t="n">
        <v>0</v>
      </c>
      <c r="K152" t="n">
        <v>0</v>
      </c>
      <c r="L152" t="n">
        <v>0</v>
      </c>
      <c r="M152" t="n">
        <v>0</v>
      </c>
      <c r="N152" t="n">
        <v>0</v>
      </c>
      <c r="O152" t="n">
        <v>0</v>
      </c>
      <c r="P152" t="n">
        <v>0</v>
      </c>
      <c r="Q152" t="n">
        <v>0</v>
      </c>
      <c r="R152" s="2" t="inlineStr"/>
    </row>
    <row r="153" ht="15" customHeight="1">
      <c r="A153" t="inlineStr">
        <is>
          <t>A 10244-2026</t>
        </is>
      </c>
      <c r="B153" s="1" t="n">
        <v>46076.55032407407</v>
      </c>
      <c r="C153" s="1" t="n">
        <v>46127</v>
      </c>
      <c r="D153" t="inlineStr">
        <is>
          <t>VÄSTMANLANDS LÄN</t>
        </is>
      </c>
      <c r="E153" t="inlineStr">
        <is>
          <t>SURAHAMMAR</t>
        </is>
      </c>
      <c r="F153" t="inlineStr">
        <is>
          <t>Allmännings- och besparingsskogar</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10562-2026</t>
        </is>
      </c>
      <c r="B154" s="1" t="n">
        <v>46077.64043981482</v>
      </c>
      <c r="C154" s="1" t="n">
        <v>46127</v>
      </c>
      <c r="D154" t="inlineStr">
        <is>
          <t>VÄSTMANLANDS LÄN</t>
        </is>
      </c>
      <c r="E154" t="inlineStr">
        <is>
          <t>SURAHAMMAR</t>
        </is>
      </c>
      <c r="F154" t="inlineStr">
        <is>
          <t>Övriga Aktiebolag</t>
        </is>
      </c>
      <c r="G154" t="n">
        <v>2.3</v>
      </c>
      <c r="H154" t="n">
        <v>0</v>
      </c>
      <c r="I154" t="n">
        <v>0</v>
      </c>
      <c r="J154" t="n">
        <v>0</v>
      </c>
      <c r="K154" t="n">
        <v>0</v>
      </c>
      <c r="L154" t="n">
        <v>0</v>
      </c>
      <c r="M154" t="n">
        <v>0</v>
      </c>
      <c r="N154" t="n">
        <v>0</v>
      </c>
      <c r="O154" t="n">
        <v>0</v>
      </c>
      <c r="P154" t="n">
        <v>0</v>
      </c>
      <c r="Q154" t="n">
        <v>0</v>
      </c>
      <c r="R154" s="2" t="inlineStr"/>
    </row>
    <row r="155" ht="15" customHeight="1">
      <c r="A155" t="inlineStr">
        <is>
          <t>A 19782-2023</t>
        </is>
      </c>
      <c r="B155" s="1" t="n">
        <v>45050</v>
      </c>
      <c r="C155" s="1" t="n">
        <v>46127</v>
      </c>
      <c r="D155" t="inlineStr">
        <is>
          <t>VÄSTMANLANDS LÄN</t>
        </is>
      </c>
      <c r="E155" t="inlineStr">
        <is>
          <t>SURAHAMMAR</t>
        </is>
      </c>
      <c r="F155" t="inlineStr">
        <is>
          <t>Bergvik skog väst AB</t>
        </is>
      </c>
      <c r="G155" t="n">
        <v>5.2</v>
      </c>
      <c r="H155" t="n">
        <v>0</v>
      </c>
      <c r="I155" t="n">
        <v>0</v>
      </c>
      <c r="J155" t="n">
        <v>0</v>
      </c>
      <c r="K155" t="n">
        <v>0</v>
      </c>
      <c r="L155" t="n">
        <v>0</v>
      </c>
      <c r="M155" t="n">
        <v>0</v>
      </c>
      <c r="N155" t="n">
        <v>0</v>
      </c>
      <c r="O155" t="n">
        <v>0</v>
      </c>
      <c r="P155" t="n">
        <v>0</v>
      </c>
      <c r="Q155" t="n">
        <v>0</v>
      </c>
      <c r="R155" s="2" t="inlineStr"/>
    </row>
    <row r="156" ht="15" customHeight="1">
      <c r="A156" t="inlineStr">
        <is>
          <t>A 10347-2026</t>
        </is>
      </c>
      <c r="B156" s="1" t="n">
        <v>46076.69101851852</v>
      </c>
      <c r="C156" s="1" t="n">
        <v>46127</v>
      </c>
      <c r="D156" t="inlineStr">
        <is>
          <t>VÄSTMANLANDS LÄN</t>
        </is>
      </c>
      <c r="E156" t="inlineStr">
        <is>
          <t>SURAHAMMAR</t>
        </is>
      </c>
      <c r="F156" t="inlineStr">
        <is>
          <t>Allmännings- och besparingsskogar</t>
        </is>
      </c>
      <c r="G156" t="n">
        <v>3</v>
      </c>
      <c r="H156" t="n">
        <v>0</v>
      </c>
      <c r="I156" t="n">
        <v>0</v>
      </c>
      <c r="J156" t="n">
        <v>0</v>
      </c>
      <c r="K156" t="n">
        <v>0</v>
      </c>
      <c r="L156" t="n">
        <v>0</v>
      </c>
      <c r="M156" t="n">
        <v>0</v>
      </c>
      <c r="N156" t="n">
        <v>0</v>
      </c>
      <c r="O156" t="n">
        <v>0</v>
      </c>
      <c r="P156" t="n">
        <v>0</v>
      </c>
      <c r="Q156" t="n">
        <v>0</v>
      </c>
      <c r="R156" s="2" t="inlineStr"/>
    </row>
    <row r="157" ht="15" customHeight="1">
      <c r="A157" t="inlineStr">
        <is>
          <t>A 7848-2022</t>
        </is>
      </c>
      <c r="B157" s="1" t="n">
        <v>44608.58400462963</v>
      </c>
      <c r="C157" s="1" t="n">
        <v>46127</v>
      </c>
      <c r="D157" t="inlineStr">
        <is>
          <t>VÄSTMANLANDS LÄN</t>
        </is>
      </c>
      <c r="E157" t="inlineStr">
        <is>
          <t>SURAHAMMAR</t>
        </is>
      </c>
      <c r="G157" t="n">
        <v>2.1</v>
      </c>
      <c r="H157" t="n">
        <v>0</v>
      </c>
      <c r="I157" t="n">
        <v>0</v>
      </c>
      <c r="J157" t="n">
        <v>0</v>
      </c>
      <c r="K157" t="n">
        <v>0</v>
      </c>
      <c r="L157" t="n">
        <v>0</v>
      </c>
      <c r="M157" t="n">
        <v>0</v>
      </c>
      <c r="N157" t="n">
        <v>0</v>
      </c>
      <c r="O157" t="n">
        <v>0</v>
      </c>
      <c r="P157" t="n">
        <v>0</v>
      </c>
      <c r="Q157" t="n">
        <v>0</v>
      </c>
      <c r="R157" s="2" t="inlineStr"/>
    </row>
    <row r="158" ht="15" customHeight="1">
      <c r="A158" t="inlineStr">
        <is>
          <t>A 24167-2024</t>
        </is>
      </c>
      <c r="B158" s="1" t="n">
        <v>45456</v>
      </c>
      <c r="C158" s="1" t="n">
        <v>46127</v>
      </c>
      <c r="D158" t="inlineStr">
        <is>
          <t>VÄSTMANLANDS LÄN</t>
        </is>
      </c>
      <c r="E158" t="inlineStr">
        <is>
          <t>SURAHAMMAR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56378-2023</t>
        </is>
      </c>
      <c r="B159" s="1" t="n">
        <v>45236</v>
      </c>
      <c r="C159" s="1" t="n">
        <v>46127</v>
      </c>
      <c r="D159" t="inlineStr">
        <is>
          <t>VÄSTMANLANDS LÄN</t>
        </is>
      </c>
      <c r="E159" t="inlineStr">
        <is>
          <t>SURAHAMMAR</t>
        </is>
      </c>
      <c r="F159" t="inlineStr">
        <is>
          <t>Bergvik skog väst AB</t>
        </is>
      </c>
      <c r="G159" t="n">
        <v>4.6</v>
      </c>
      <c r="H159" t="n">
        <v>0</v>
      </c>
      <c r="I159" t="n">
        <v>0</v>
      </c>
      <c r="J159" t="n">
        <v>0</v>
      </c>
      <c r="K159" t="n">
        <v>0</v>
      </c>
      <c r="L159" t="n">
        <v>0</v>
      </c>
      <c r="M159" t="n">
        <v>0</v>
      </c>
      <c r="N159" t="n">
        <v>0</v>
      </c>
      <c r="O159" t="n">
        <v>0</v>
      </c>
      <c r="P159" t="n">
        <v>0</v>
      </c>
      <c r="Q159" t="n">
        <v>0</v>
      </c>
      <c r="R159" s="2" t="inlineStr"/>
    </row>
    <row r="160" ht="15" customHeight="1">
      <c r="A160" t="inlineStr">
        <is>
          <t>A 19099-2022</t>
        </is>
      </c>
      <c r="B160" s="1" t="n">
        <v>44691</v>
      </c>
      <c r="C160" s="1" t="n">
        <v>46127</v>
      </c>
      <c r="D160" t="inlineStr">
        <is>
          <t>VÄSTMANLANDS LÄN</t>
        </is>
      </c>
      <c r="E160" t="inlineStr">
        <is>
          <t>SURAHAMMAR</t>
        </is>
      </c>
      <c r="F160" t="inlineStr">
        <is>
          <t>Övriga Aktiebolag</t>
        </is>
      </c>
      <c r="G160" t="n">
        <v>3.4</v>
      </c>
      <c r="H160" t="n">
        <v>0</v>
      </c>
      <c r="I160" t="n">
        <v>0</v>
      </c>
      <c r="J160" t="n">
        <v>0</v>
      </c>
      <c r="K160" t="n">
        <v>0</v>
      </c>
      <c r="L160" t="n">
        <v>0</v>
      </c>
      <c r="M160" t="n">
        <v>0</v>
      </c>
      <c r="N160" t="n">
        <v>0</v>
      </c>
      <c r="O160" t="n">
        <v>0</v>
      </c>
      <c r="P160" t="n">
        <v>0</v>
      </c>
      <c r="Q160" t="n">
        <v>0</v>
      </c>
      <c r="R160" s="2" t="inlineStr"/>
    </row>
    <row r="161" ht="15" customHeight="1">
      <c r="A161" t="inlineStr">
        <is>
          <t>A 11501-2023</t>
        </is>
      </c>
      <c r="B161" s="1" t="n">
        <v>44991</v>
      </c>
      <c r="C161" s="1" t="n">
        <v>46127</v>
      </c>
      <c r="D161" t="inlineStr">
        <is>
          <t>VÄSTMANLANDS LÄN</t>
        </is>
      </c>
      <c r="E161" t="inlineStr">
        <is>
          <t>SURAHAMMAR</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46127</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21509-2024</t>
        </is>
      </c>
      <c r="B163" s="1" t="n">
        <v>45441</v>
      </c>
      <c r="C163" s="1" t="n">
        <v>46127</v>
      </c>
      <c r="D163" t="inlineStr">
        <is>
          <t>VÄSTMANLANDS LÄN</t>
        </is>
      </c>
      <c r="E163" t="inlineStr">
        <is>
          <t>SURAHAMMAR</t>
        </is>
      </c>
      <c r="F163" t="inlineStr">
        <is>
          <t>Bergvik skog väst AB</t>
        </is>
      </c>
      <c r="G163" t="n">
        <v>3.9</v>
      </c>
      <c r="H163" t="n">
        <v>0</v>
      </c>
      <c r="I163" t="n">
        <v>0</v>
      </c>
      <c r="J163" t="n">
        <v>0</v>
      </c>
      <c r="K163" t="n">
        <v>0</v>
      </c>
      <c r="L163" t="n">
        <v>0</v>
      </c>
      <c r="M163" t="n">
        <v>0</v>
      </c>
      <c r="N163" t="n">
        <v>0</v>
      </c>
      <c r="O163" t="n">
        <v>0</v>
      </c>
      <c r="P163" t="n">
        <v>0</v>
      </c>
      <c r="Q163" t="n">
        <v>0</v>
      </c>
      <c r="R163" s="2" t="inlineStr"/>
    </row>
    <row r="164" ht="15" customHeight="1">
      <c r="A164" t="inlineStr">
        <is>
          <t>A 22662-2023</t>
        </is>
      </c>
      <c r="B164" s="1" t="n">
        <v>45071</v>
      </c>
      <c r="C164" s="1" t="n">
        <v>46127</v>
      </c>
      <c r="D164" t="inlineStr">
        <is>
          <t>VÄSTMANLANDS LÄN</t>
        </is>
      </c>
      <c r="E164" t="inlineStr">
        <is>
          <t>SURAHAMMAR</t>
        </is>
      </c>
      <c r="F164" t="inlineStr">
        <is>
          <t>Sveaskog</t>
        </is>
      </c>
      <c r="G164" t="n">
        <v>0.6</v>
      </c>
      <c r="H164" t="n">
        <v>0</v>
      </c>
      <c r="I164" t="n">
        <v>0</v>
      </c>
      <c r="J164" t="n">
        <v>0</v>
      </c>
      <c r="K164" t="n">
        <v>0</v>
      </c>
      <c r="L164" t="n">
        <v>0</v>
      </c>
      <c r="M164" t="n">
        <v>0</v>
      </c>
      <c r="N164" t="n">
        <v>0</v>
      </c>
      <c r="O164" t="n">
        <v>0</v>
      </c>
      <c r="P164" t="n">
        <v>0</v>
      </c>
      <c r="Q164" t="n">
        <v>0</v>
      </c>
      <c r="R164" s="2" t="inlineStr"/>
    </row>
    <row r="165" ht="15" customHeight="1">
      <c r="A165" t="inlineStr">
        <is>
          <t>A 16013-2023</t>
        </is>
      </c>
      <c r="B165" s="1" t="n">
        <v>45026</v>
      </c>
      <c r="C165" s="1" t="n">
        <v>46127</v>
      </c>
      <c r="D165" t="inlineStr">
        <is>
          <t>VÄSTMANLANDS LÄN</t>
        </is>
      </c>
      <c r="E165" t="inlineStr">
        <is>
          <t>SURAHAMMAR</t>
        </is>
      </c>
      <c r="G165" t="n">
        <v>3.9</v>
      </c>
      <c r="H165" t="n">
        <v>0</v>
      </c>
      <c r="I165" t="n">
        <v>0</v>
      </c>
      <c r="J165" t="n">
        <v>0</v>
      </c>
      <c r="K165" t="n">
        <v>0</v>
      </c>
      <c r="L165" t="n">
        <v>0</v>
      </c>
      <c r="M165" t="n">
        <v>0</v>
      </c>
      <c r="N165" t="n">
        <v>0</v>
      </c>
      <c r="O165" t="n">
        <v>0</v>
      </c>
      <c r="P165" t="n">
        <v>0</v>
      </c>
      <c r="Q165" t="n">
        <v>0</v>
      </c>
      <c r="R165" s="2" t="inlineStr"/>
    </row>
    <row r="166" ht="15" customHeight="1">
      <c r="A166" t="inlineStr">
        <is>
          <t>A 41555-2022</t>
        </is>
      </c>
      <c r="B166" s="1" t="n">
        <v>44826</v>
      </c>
      <c r="C166" s="1" t="n">
        <v>46127</v>
      </c>
      <c r="D166" t="inlineStr">
        <is>
          <t>VÄSTMANLANDS LÄN</t>
        </is>
      </c>
      <c r="E166" t="inlineStr">
        <is>
          <t>SURAHAMMAR</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25780-2023</t>
        </is>
      </c>
      <c r="B167" s="1" t="n">
        <v>45090.47523148148</v>
      </c>
      <c r="C167" s="1" t="n">
        <v>46127</v>
      </c>
      <c r="D167" t="inlineStr">
        <is>
          <t>VÄSTMANLANDS LÄN</t>
        </is>
      </c>
      <c r="E167" t="inlineStr">
        <is>
          <t>SURAHAMMAR</t>
        </is>
      </c>
      <c r="G167" t="n">
        <v>2.8</v>
      </c>
      <c r="H167" t="n">
        <v>0</v>
      </c>
      <c r="I167" t="n">
        <v>0</v>
      </c>
      <c r="J167" t="n">
        <v>0</v>
      </c>
      <c r="K167" t="n">
        <v>0</v>
      </c>
      <c r="L167" t="n">
        <v>0</v>
      </c>
      <c r="M167" t="n">
        <v>0</v>
      </c>
      <c r="N167" t="n">
        <v>0</v>
      </c>
      <c r="O167" t="n">
        <v>0</v>
      </c>
      <c r="P167" t="n">
        <v>0</v>
      </c>
      <c r="Q167" t="n">
        <v>0</v>
      </c>
      <c r="R167" s="2" t="inlineStr"/>
    </row>
    <row r="168" ht="15" customHeight="1">
      <c r="A168" t="inlineStr">
        <is>
          <t>A 13386-2025</t>
        </is>
      </c>
      <c r="B168" s="1" t="n">
        <v>45735</v>
      </c>
      <c r="C168" s="1" t="n">
        <v>46127</v>
      </c>
      <c r="D168" t="inlineStr">
        <is>
          <t>VÄSTMANLANDS LÄN</t>
        </is>
      </c>
      <c r="E168" t="inlineStr">
        <is>
          <t>SURAHAMMAR</t>
        </is>
      </c>
      <c r="F168" t="inlineStr">
        <is>
          <t>Bergvik skog väst AB</t>
        </is>
      </c>
      <c r="G168" t="n">
        <v>4</v>
      </c>
      <c r="H168" t="n">
        <v>0</v>
      </c>
      <c r="I168" t="n">
        <v>0</v>
      </c>
      <c r="J168" t="n">
        <v>0</v>
      </c>
      <c r="K168" t="n">
        <v>0</v>
      </c>
      <c r="L168" t="n">
        <v>0</v>
      </c>
      <c r="M168" t="n">
        <v>0</v>
      </c>
      <c r="N168" t="n">
        <v>0</v>
      </c>
      <c r="O168" t="n">
        <v>0</v>
      </c>
      <c r="P168" t="n">
        <v>0</v>
      </c>
      <c r="Q168" t="n">
        <v>0</v>
      </c>
      <c r="R168" s="2" t="inlineStr"/>
    </row>
    <row r="169">
      <c r="A169" t="inlineStr">
        <is>
          <t>A 47785-2021</t>
        </is>
      </c>
      <c r="B169" s="1" t="n">
        <v>44448</v>
      </c>
      <c r="C169" s="1" t="n">
        <v>46127</v>
      </c>
      <c r="D169" t="inlineStr">
        <is>
          <t>VÄSTMANLANDS LÄN</t>
        </is>
      </c>
      <c r="E169" t="inlineStr">
        <is>
          <t>SURAHAMMAR</t>
        </is>
      </c>
      <c r="F169" t="inlineStr">
        <is>
          <t>Kommuner</t>
        </is>
      </c>
      <c r="G169" t="n">
        <v>3.3</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2026-04-15T14:24:56Z</dcterms:created>
  <dcterms:modified xmlns:dcterms="http://purl.org/dc/terms/" xmlns:xsi="http://www.w3.org/2001/XMLSchema-instance" xsi:type="dcterms:W3CDTF">2026-04-15T14:24:56Z</dcterms:modified>
</cp:coreProperties>
</file>