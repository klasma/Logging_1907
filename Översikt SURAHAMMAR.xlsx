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46320</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46320</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46320</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46320</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46320</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51</v>
      </c>
      <c r="U8" t="n">
        <v>35</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46320</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46320</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46320</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46320</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46320</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46320</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46320</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46320</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20389-2024</t>
        </is>
      </c>
      <c r="B17" t="inlineStr">
        <is>
          <t>avverkningsanmälan</t>
        </is>
      </c>
      <c r="C17" t="inlineStr">
        <is>
          <t>Föryngringsavverkning</t>
        </is>
      </c>
      <c r="D17" s="1" t="n">
        <v>45435</v>
      </c>
      <c r="E17" s="1" t="n">
        <v>46320</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46320</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42853-2022</t>
        </is>
      </c>
      <c r="B19" t="inlineStr">
        <is>
          <t>avverkningsanmälan</t>
        </is>
      </c>
      <c r="C19" t="inlineStr">
        <is>
          <t>Avverkning för att bevara och utveckla /försöksver</t>
        </is>
      </c>
      <c r="D19" s="1" t="n">
        <v>44832</v>
      </c>
      <c r="E19" s="1" t="n">
        <v>46320</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34040-2024</t>
        </is>
      </c>
      <c r="B20" t="inlineStr">
        <is>
          <t>avverkningsanmälan</t>
        </is>
      </c>
      <c r="C20" t="inlineStr">
        <is>
          <t>Föryngringsavverkning</t>
        </is>
      </c>
      <c r="D20" s="1" t="n">
        <v>45523</v>
      </c>
      <c r="E20" s="1" t="n">
        <v>46320</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39594-2025</t>
        </is>
      </c>
      <c r="B21" t="inlineStr">
        <is>
          <t>avverkningsanmälan</t>
        </is>
      </c>
      <c r="C21" t="inlineStr">
        <is>
          <t>Föryngringsavverkning</t>
        </is>
      </c>
      <c r="D21" s="1" t="n">
        <v>45890</v>
      </c>
      <c r="E21" s="1" t="n">
        <v>46320</v>
      </c>
      <c r="F21" t="inlineStr">
        <is>
          <t>VÄSTMANLANDS LÄN</t>
        </is>
      </c>
      <c r="G21" t="inlineStr">
        <is>
          <t>SURAHAMMAR</t>
        </is>
      </c>
      <c r="H21" t="inlineStr">
        <is>
          <t>Bergvik skog väst AB</t>
        </is>
      </c>
      <c r="I21" t="n">
        <v>7</v>
      </c>
      <c r="J21" t="n">
        <v>6</v>
      </c>
      <c r="K21" t="n">
        <v>3</v>
      </c>
      <c r="L21" t="n">
        <v>5</v>
      </c>
      <c r="M21" t="n">
        <v>0</v>
      </c>
      <c r="N21" t="n">
        <v>0</v>
      </c>
      <c r="O21" t="n">
        <v>0</v>
      </c>
      <c r="P21" t="n">
        <v>0</v>
      </c>
      <c r="Q21" t="n">
        <v>5</v>
      </c>
      <c r="R21" t="n">
        <v>0</v>
      </c>
      <c r="S21" t="n">
        <v>11</v>
      </c>
      <c r="T21" t="n">
        <v>14</v>
      </c>
      <c r="U21" t="n">
        <v>10</v>
      </c>
      <c r="V21" s="2" t="inlineStr">
        <is>
          <t>Brunlångöra
Dropptaggsvamp
Gropticka
Nordfladdermus
Talltita
Bronshjon
Gullgröppa
Vedticka
Järpe
Tjäder
Dvärgpipistrell</t>
        </is>
      </c>
      <c r="W21">
        <f>HYPERLINK("https://klasma.github.io/Logging_1907/artfynd/A 39594-2025 artfynd.xlsx", "A 39594-2025")</f>
        <v/>
      </c>
      <c r="X21">
        <f>HYPERLINK("https://klasma.github.io/Logging_1907/kartor/A 39594-2025 karta.png", "A 39594-2025")</f>
        <v/>
      </c>
      <c r="Y21">
        <f>HYPERLINK("https://klasma.github.io/Logging_1907/kartor_geotiff/A 39594-2025 georefererad karta.tif", "A 39594-2025")</f>
        <v/>
      </c>
      <c r="AA21">
        <f>HYPERLINK("https://klasma.github.io/Logging_1907/klagomål/A 39594-2025 FSC-klagomål.docx", "A 39594-2025")</f>
        <v/>
      </c>
      <c r="AB21">
        <f>HYPERLINK("https://klasma.github.io/Logging_1907/klagomålsmail/A 39594-2025 FSC-klagomål mail.docx", "A 39594-2025")</f>
        <v/>
      </c>
      <c r="AC21">
        <f>HYPERLINK("https://klasma.github.io/Logging_1907/tillsyn/A 39594-2025 tillsynsbegäran.docx", "A 39594-2025")</f>
        <v/>
      </c>
      <c r="AD21">
        <f>HYPERLINK("https://klasma.github.io/Logging_1907/tillsynsmail/A 39594-2025 tillsynsbegäran mail.docx", "A 39594-2025")</f>
        <v/>
      </c>
      <c r="AE21">
        <f>HYPERLINK("https://klasma.github.io/Logging_1907/fåglar/A 39594-2025 prioriterade fågelarter.docx", "A 39594-2025")</f>
        <v/>
      </c>
    </row>
    <row r="22" ht="15" customHeight="1">
      <c r="A22" t="inlineStr">
        <is>
          <t>A 20391-2024</t>
        </is>
      </c>
      <c r="B22" t="inlineStr">
        <is>
          <t>avverkningsanmälan</t>
        </is>
      </c>
      <c r="C22" t="inlineStr">
        <is>
          <t>Föryngringsavverkning</t>
        </is>
      </c>
      <c r="D22" s="1" t="n">
        <v>45435</v>
      </c>
      <c r="E22" s="1" t="n">
        <v>46320</v>
      </c>
      <c r="F22" t="inlineStr">
        <is>
          <t>VÄSTMANLANDS LÄN</t>
        </is>
      </c>
      <c r="G22" t="inlineStr">
        <is>
          <t>SURAHAMMAR</t>
        </is>
      </c>
      <c r="I22" t="n">
        <v>1.5</v>
      </c>
      <c r="J22" t="n">
        <v>5</v>
      </c>
      <c r="K22" t="n">
        <v>2</v>
      </c>
      <c r="L22" t="n">
        <v>6</v>
      </c>
      <c r="M22" t="n">
        <v>0</v>
      </c>
      <c r="N22" t="n">
        <v>0</v>
      </c>
      <c r="O22" t="n">
        <v>0</v>
      </c>
      <c r="P22" t="n">
        <v>0</v>
      </c>
      <c r="Q22" t="n">
        <v>6</v>
      </c>
      <c r="R22" t="n">
        <v>0</v>
      </c>
      <c r="S22" t="n">
        <v>10</v>
      </c>
      <c r="T22" t="n">
        <v>11</v>
      </c>
      <c r="U22" t="n">
        <v>2</v>
      </c>
      <c r="V22" s="2" t="inlineStr">
        <is>
          <t>Duvhök
Kattfotslav
Sparvuggla
Talltita
Vedtrappmossa
Vitfläckig guldvinge
Stubbspretmossa
Vedticka
Grönsiska
Grönvit nattviol</t>
        </is>
      </c>
      <c r="W22">
        <f>HYPERLINK("https://klasma.github.io/Logging_1907/artfynd/A 20391-2024 artfynd.xlsx", "A 20391-2024")</f>
        <v/>
      </c>
      <c r="X22">
        <f>HYPERLINK("https://klasma.github.io/Logging_1907/kartor/A 20391-2024 karta.png", "A 20391-2024")</f>
        <v/>
      </c>
      <c r="Y22">
        <f>HYPERLINK("https://klasma.github.io/Logging_1907/kartor_geotiff/A 20391-2024 georefererad karta.tif", "A 20391-2024")</f>
        <v/>
      </c>
      <c r="AA22">
        <f>HYPERLINK("https://klasma.github.io/Logging_1907/klagomål/A 20391-2024 FSC-klagomål.docx", "A 20391-2024")</f>
        <v/>
      </c>
      <c r="AB22">
        <f>HYPERLINK("https://klasma.github.io/Logging_1907/klagomålsmail/A 20391-2024 FSC-klagomål mail.docx", "A 20391-2024")</f>
        <v/>
      </c>
      <c r="AC22">
        <f>HYPERLINK("https://klasma.github.io/Logging_1907/tillsyn/A 20391-2024 tillsynsbegäran.docx", "A 20391-2024")</f>
        <v/>
      </c>
      <c r="AD22">
        <f>HYPERLINK("https://klasma.github.io/Logging_1907/tillsynsmail/A 20391-2024 tillsynsbegäran mail.docx", "A 20391-2024")</f>
        <v/>
      </c>
      <c r="AE22">
        <f>HYPERLINK("https://klasma.github.io/Logging_1907/fåglar/A 20391-2024 prioriterade fågelarter.docx", "A 20391-2024")</f>
        <v/>
      </c>
    </row>
    <row r="23" ht="15" customHeight="1">
      <c r="A23" t="inlineStr">
        <is>
          <t>A 22907-2023</t>
        </is>
      </c>
      <c r="B23" t="inlineStr">
        <is>
          <t>avverkningsanmälan</t>
        </is>
      </c>
      <c r="C23" t="inlineStr">
        <is>
          <t>Föryngringsavverkning</t>
        </is>
      </c>
      <c r="D23" s="1" t="n">
        <v>45070</v>
      </c>
      <c r="E23" s="1" t="n">
        <v>46320</v>
      </c>
      <c r="F23" t="inlineStr">
        <is>
          <t>VÄSTMANLANDS LÄN</t>
        </is>
      </c>
      <c r="G23" t="inlineStr">
        <is>
          <t>SURAHAMMAR</t>
        </is>
      </c>
      <c r="H23" t="inlineStr">
        <is>
          <t>Bergvik skog väst AB</t>
        </is>
      </c>
      <c r="I23" t="n">
        <v>8.300000000000001</v>
      </c>
      <c r="J23" t="n">
        <v>7</v>
      </c>
      <c r="K23" t="n">
        <v>1</v>
      </c>
      <c r="L23" t="n">
        <v>3</v>
      </c>
      <c r="M23" t="n">
        <v>0</v>
      </c>
      <c r="N23" t="n">
        <v>0</v>
      </c>
      <c r="O23" t="n">
        <v>0</v>
      </c>
      <c r="P23" t="n">
        <v>0</v>
      </c>
      <c r="Q23" t="n">
        <v>3</v>
      </c>
      <c r="R23" t="n">
        <v>0</v>
      </c>
      <c r="S23" t="n">
        <v>10</v>
      </c>
      <c r="T23" t="n">
        <v>19</v>
      </c>
      <c r="U23" t="n">
        <v>9</v>
      </c>
      <c r="V23" s="2" t="inlineStr">
        <is>
          <t>Slåtterfibbla
Svinrot
Talltita
Barkticka
Mattlummer
Spillkråka
Kungsfågel
Fläcknycklar
Grönvit nattviol
Revlummer</t>
        </is>
      </c>
      <c r="W23">
        <f>HYPERLINK("https://klasma.github.io/Logging_1907/artfynd/A 22907-2023 artfynd.xlsx", "A 22907-2023")</f>
        <v/>
      </c>
      <c r="X23">
        <f>HYPERLINK("https://klasma.github.io/Logging_1907/kartor/A 22907-2023 karta.png", "A 22907-2023")</f>
        <v/>
      </c>
      <c r="Y23">
        <f>HYPERLINK("https://klasma.github.io/Logging_1907/kartor_geotiff/A 22907-2023 georefererad karta.tif", "A 22907-2023")</f>
        <v/>
      </c>
      <c r="AA23">
        <f>HYPERLINK("https://klasma.github.io/Logging_1907/klagomål/A 22907-2023 FSC-klagomål.docx", "A 22907-2023")</f>
        <v/>
      </c>
      <c r="AB23">
        <f>HYPERLINK("https://klasma.github.io/Logging_1907/klagomålsmail/A 22907-2023 FSC-klagomål mail.docx", "A 22907-2023")</f>
        <v/>
      </c>
      <c r="AC23">
        <f>HYPERLINK("https://klasma.github.io/Logging_1907/tillsyn/A 22907-2023 tillsynsbegäran.docx", "A 22907-2023")</f>
        <v/>
      </c>
      <c r="AD23">
        <f>HYPERLINK("https://klasma.github.io/Logging_1907/tillsynsmail/A 22907-2023 tillsynsbegäran mail.docx", "A 22907-2023")</f>
        <v/>
      </c>
      <c r="AE23">
        <f>HYPERLINK("https://klasma.github.io/Logging_1907/fåglar/A 22907-2023 prioriterade fågelarter.docx", "A 22907-2023")</f>
        <v/>
      </c>
    </row>
    <row r="24" ht="15" customHeight="1">
      <c r="A24" t="inlineStr">
        <is>
          <t>S 42-2022</t>
        </is>
      </c>
      <c r="B24" t="inlineStr">
        <is>
          <t>samrådsanmälan</t>
        </is>
      </c>
      <c r="C24" t="inlineStr">
        <is>
          <t>Annan skogsbruksåtgärd</t>
        </is>
      </c>
      <c r="D24" s="1" t="n">
        <v>44565</v>
      </c>
      <c r="E24" s="1" t="n">
        <v>46320</v>
      </c>
      <c r="F24" t="inlineStr">
        <is>
          <t>VÄSTMANLANDS LÄN</t>
        </is>
      </c>
      <c r="G24" t="inlineStr">
        <is>
          <t>SURAHAMMAR</t>
        </is>
      </c>
      <c r="H24" t="inlineStr">
        <is>
          <t>Bergvik skog väst AB</t>
        </is>
      </c>
      <c r="I24" t="n">
        <v>9.800000000000001</v>
      </c>
      <c r="J24" t="n">
        <v>2</v>
      </c>
      <c r="K24" t="n">
        <v>2</v>
      </c>
      <c r="L24" t="n">
        <v>1</v>
      </c>
      <c r="M24" t="n">
        <v>0</v>
      </c>
      <c r="N24" t="n">
        <v>0</v>
      </c>
      <c r="O24" t="n">
        <v>0</v>
      </c>
      <c r="P24" t="n">
        <v>0</v>
      </c>
      <c r="Q24" t="n">
        <v>1</v>
      </c>
      <c r="R24" t="n">
        <v>0</v>
      </c>
      <c r="S24" t="n">
        <v>10</v>
      </c>
      <c r="T24" t="n">
        <v>46</v>
      </c>
      <c r="U24" t="n">
        <v>18</v>
      </c>
      <c r="V24" s="2" t="inlineStr">
        <is>
          <t>Skogshare
Mindre märgborre
Vedticka
Blåbär
Brudborste
Skogsstjärna
Sotpraktbagge
Spillkråka
Timmerticka
Tjäder</t>
        </is>
      </c>
      <c r="W24">
        <f>HYPERLINK("https://klasma.github.io/Logging_1907/artfynd/S 42-2022 artfynd.xlsx", "S 42-2022")</f>
        <v/>
      </c>
      <c r="X24">
        <f>HYPERLINK("https://klasma.github.io/Logging_1907/kartor/S 42-2022 karta.png", "S 42-2022")</f>
        <v/>
      </c>
      <c r="Y24">
        <f>HYPERLINK("https://klasma.github.io/Logging_1907/kartor_geotiff/S 42-2022 georefererad karta.tif", "S 42-2022")</f>
        <v/>
      </c>
      <c r="AA24">
        <f>HYPERLINK("https://klasma.github.io/Logging_1907/klagomål/S 42-2022 FSC-klagomål.docx", "S 42-2022")</f>
        <v/>
      </c>
      <c r="AB24">
        <f>HYPERLINK("https://klasma.github.io/Logging_1907/klagomålsmail/S 42-2022 FSC-klagomål mail.docx", "S 42-2022")</f>
        <v/>
      </c>
      <c r="AC24">
        <f>HYPERLINK("https://klasma.github.io/Logging_1907/tillsyn/S 42-2022 tillsynsbegäran.docx", "S 42-2022")</f>
        <v/>
      </c>
      <c r="AD24">
        <f>HYPERLINK("https://klasma.github.io/Logging_1907/tillsynsmail/S 42-2022 tillsynsbegäran mail.docx", "S 42-2022")</f>
        <v/>
      </c>
      <c r="AE24">
        <f>HYPERLINK("https://klasma.github.io/Logging_1907/fåglar/S 42-2022 prioriterade fågelarter.docx", "S 42-2022")</f>
        <v/>
      </c>
    </row>
    <row r="25" ht="15" customHeight="1">
      <c r="A25" t="inlineStr">
        <is>
          <t>A 31060-2026</t>
        </is>
      </c>
      <c r="B25" t="inlineStr">
        <is>
          <t>avverkningsanmälan</t>
        </is>
      </c>
      <c r="C25" t="inlineStr">
        <is>
          <t>Föryngringsavverkning</t>
        </is>
      </c>
      <c r="D25" s="1" t="n">
        <v>46215</v>
      </c>
      <c r="E25" s="1" t="n">
        <v>46320</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44798-2024</t>
        </is>
      </c>
      <c r="B26" t="inlineStr">
        <is>
          <t>avverkningsanmälan</t>
        </is>
      </c>
      <c r="C26" t="inlineStr">
        <is>
          <t>Föryngringsavverkning</t>
        </is>
      </c>
      <c r="D26" s="1" t="n">
        <v>45574</v>
      </c>
      <c r="E26" s="1" t="n">
        <v>46320</v>
      </c>
      <c r="F26" t="inlineStr">
        <is>
          <t>VÄSTMANLANDS LÄN</t>
        </is>
      </c>
      <c r="G26" t="inlineStr">
        <is>
          <t>SURAHAMMAR</t>
        </is>
      </c>
      <c r="H26" t="inlineStr">
        <is>
          <t>Bergvik skog väst AB</t>
        </is>
      </c>
      <c r="I26" t="n">
        <v>4.4</v>
      </c>
      <c r="J26" t="n">
        <v>0</v>
      </c>
      <c r="K26" t="n">
        <v>1</v>
      </c>
      <c r="L26" t="n">
        <v>7</v>
      </c>
      <c r="M26" t="n">
        <v>1</v>
      </c>
      <c r="N26" t="n">
        <v>0</v>
      </c>
      <c r="O26" t="n">
        <v>0</v>
      </c>
      <c r="P26" t="n">
        <v>0</v>
      </c>
      <c r="Q26" t="n">
        <v>8</v>
      </c>
      <c r="R26" t="n">
        <v>1</v>
      </c>
      <c r="S26" t="n">
        <v>9</v>
      </c>
      <c r="T26" t="n">
        <v>26</v>
      </c>
      <c r="U26" t="n">
        <v>10</v>
      </c>
      <c r="V26" s="2" t="inlineStr">
        <is>
          <t>Rosetticka
Brunklöver
Gropticka
Persiljespindling
Scharlakansvaxing
Svinrot
Ullticka
Vågticka
Brandticka</t>
        </is>
      </c>
      <c r="W26">
        <f>HYPERLINK("https://klasma.github.io/Logging_1907/artfynd/A 44798-2024 artfynd.xlsx", "A 44798-2024")</f>
        <v/>
      </c>
      <c r="X26">
        <f>HYPERLINK("https://klasma.github.io/Logging_1907/kartor/A 44798-2024 karta.png", "A 44798-2024")</f>
        <v/>
      </c>
      <c r="Y26">
        <f>HYPERLINK("https://klasma.github.io/Logging_1907/kartor_geotiff/A 44798-2024 georefererad karta.tif", "A 44798-2024")</f>
        <v/>
      </c>
      <c r="AA26">
        <f>HYPERLINK("https://klasma.github.io/Logging_1907/klagomål/A 44798-2024 FSC-klagomål.docx", "A 44798-2024")</f>
        <v/>
      </c>
      <c r="AB26">
        <f>HYPERLINK("https://klasma.github.io/Logging_1907/klagomålsmail/A 44798-2024 FSC-klagomål mail.docx", "A 44798-2024")</f>
        <v/>
      </c>
      <c r="AC26">
        <f>HYPERLINK("https://klasma.github.io/Logging_1907/tillsyn/A 44798-2024 tillsynsbegäran.docx", "A 44798-2024")</f>
        <v/>
      </c>
      <c r="AD26">
        <f>HYPERLINK("https://klasma.github.io/Logging_1907/tillsynsmail/A 44798-2024 tillsynsbegäran mail.docx", "A 44798-2024")</f>
        <v/>
      </c>
    </row>
    <row r="27" ht="15" customHeight="1">
      <c r="A27" t="inlineStr">
        <is>
          <t>A 38172-2024</t>
        </is>
      </c>
      <c r="B27" t="inlineStr">
        <is>
          <t>avverkningsanmälan</t>
        </is>
      </c>
      <c r="C27" t="inlineStr">
        <is>
          <t>Avverkning för att bevara och utveckla /försöksver</t>
        </is>
      </c>
      <c r="D27" s="1" t="n">
        <v>45545</v>
      </c>
      <c r="E27" s="1" t="n">
        <v>46320</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46320</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22840-2023</t>
        </is>
      </c>
      <c r="B29" t="inlineStr">
        <is>
          <t>avverkningsanmälan</t>
        </is>
      </c>
      <c r="C29" t="inlineStr">
        <is>
          <t>Föryngringsavverkning</t>
        </is>
      </c>
      <c r="D29" s="1" t="n">
        <v>45072</v>
      </c>
      <c r="E29" s="1" t="n">
        <v>46320</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36260-2026</t>
        </is>
      </c>
      <c r="B30" t="inlineStr">
        <is>
          <t>avverkningsanmälan</t>
        </is>
      </c>
      <c r="C30" t="inlineStr">
        <is>
          <t>Föryngringsavverkning</t>
        </is>
      </c>
      <c r="D30" s="1" t="n">
        <v>46268</v>
      </c>
      <c r="E30" s="1" t="n">
        <v>46320</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48891-2023</t>
        </is>
      </c>
      <c r="B31" t="inlineStr">
        <is>
          <t>avverkningsanmälan</t>
        </is>
      </c>
      <c r="C31" t="inlineStr">
        <is>
          <t>Föryngringsavverkning</t>
        </is>
      </c>
      <c r="D31" s="1" t="n">
        <v>45203</v>
      </c>
      <c r="E31" s="1" t="n">
        <v>46320</v>
      </c>
      <c r="F31" t="inlineStr">
        <is>
          <t>VÄSTMANLANDS LÄN</t>
        </is>
      </c>
      <c r="G31" t="inlineStr">
        <is>
          <t>SURAHAMMAR</t>
        </is>
      </c>
      <c r="H31" t="inlineStr">
        <is>
          <t>Bergvik skog väst AB</t>
        </is>
      </c>
      <c r="I31" t="n">
        <v>2.9</v>
      </c>
      <c r="J31" t="n">
        <v>3</v>
      </c>
      <c r="K31" t="n">
        <v>1</v>
      </c>
      <c r="L31" t="n">
        <v>3</v>
      </c>
      <c r="M31" t="n">
        <v>1</v>
      </c>
      <c r="N31" t="n">
        <v>0</v>
      </c>
      <c r="O31" t="n">
        <v>0</v>
      </c>
      <c r="P31" t="n">
        <v>0</v>
      </c>
      <c r="Q31" t="n">
        <v>4</v>
      </c>
      <c r="R31" t="n">
        <v>1</v>
      </c>
      <c r="S31" t="n">
        <v>7</v>
      </c>
      <c r="T31" t="n">
        <v>10</v>
      </c>
      <c r="U31" t="n">
        <v>5</v>
      </c>
      <c r="V31" s="2" t="inlineStr">
        <is>
          <t>Knärot
Motaggsvamp
Tallticka
Vintertagging
Flagellkvastmossa
Spillkråka
Gröngöling</t>
        </is>
      </c>
      <c r="W31">
        <f>HYPERLINK("https://klasma.github.io/Logging_1907/artfynd/A 48891-2023 artfynd.xlsx", "A 48891-2023")</f>
        <v/>
      </c>
      <c r="X31">
        <f>HYPERLINK("https://klasma.github.io/Logging_1907/kartor/A 48891-2023 karta.png", "A 48891-2023")</f>
        <v/>
      </c>
      <c r="Y31">
        <f>HYPERLINK("https://klasma.github.io/Logging_1907/kartor_geotiff/A 48891-2023 georefererad karta.tif", "A 48891-2023")</f>
        <v/>
      </c>
      <c r="Z31">
        <f>HYPERLINK("https://klasma.github.io/Logging_1907/knärot/A 48891-2023 karta knärot.png", "A 48891-2023")</f>
        <v/>
      </c>
      <c r="AA31">
        <f>HYPERLINK("https://klasma.github.io/Logging_1907/klagomål/A 48891-2023 FSC-klagomål.docx", "A 48891-2023")</f>
        <v/>
      </c>
      <c r="AB31">
        <f>HYPERLINK("https://klasma.github.io/Logging_1907/klagomålsmail/A 48891-2023 FSC-klagomål mail.docx", "A 48891-2023")</f>
        <v/>
      </c>
      <c r="AC31">
        <f>HYPERLINK("https://klasma.github.io/Logging_1907/tillsyn/A 48891-2023 tillsynsbegäran.docx", "A 48891-2023")</f>
        <v/>
      </c>
      <c r="AD31">
        <f>HYPERLINK("https://klasma.github.io/Logging_1907/tillsynsmail/A 48891-2023 tillsynsbegäran mail.docx", "A 48891-2023")</f>
        <v/>
      </c>
      <c r="AE31">
        <f>HYPERLINK("https://klasma.github.io/Logging_1907/fåglar/A 48891-2023 prioriterade fågelarter.docx", "A 48891-2023")</f>
        <v/>
      </c>
    </row>
    <row r="32" ht="15" customHeight="1">
      <c r="A32" t="inlineStr">
        <is>
          <t>S 2882-2025</t>
        </is>
      </c>
      <c r="B32" t="inlineStr">
        <is>
          <t>samrådsanmälan</t>
        </is>
      </c>
      <c r="C32" t="inlineStr">
        <is>
          <t>Annan skogsbruksåtgärd</t>
        </is>
      </c>
      <c r="D32" s="1" t="n">
        <v>45945</v>
      </c>
      <c r="E32" s="1" t="n">
        <v>46320</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46320</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46320</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46320</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46320</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46320</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25548-2024</t>
        </is>
      </c>
      <c r="B38" t="inlineStr">
        <is>
          <t>avverkningsanmälan</t>
        </is>
      </c>
      <c r="C38" t="inlineStr">
        <is>
          <t>Föryngringsavverkning</t>
        </is>
      </c>
      <c r="D38" s="1" t="n">
        <v>45463</v>
      </c>
      <c r="E38" s="1" t="n">
        <v>46320</v>
      </c>
      <c r="F38" t="inlineStr">
        <is>
          <t>VÄSTMANLANDS LÄN</t>
        </is>
      </c>
      <c r="G38" t="inlineStr">
        <is>
          <t>SURAHAMMAR</t>
        </is>
      </c>
      <c r="H38" t="inlineStr">
        <is>
          <t>Bergvik skog väst AB</t>
        </is>
      </c>
      <c r="I38" t="n">
        <v>5.1</v>
      </c>
      <c r="J38" t="n">
        <v>3</v>
      </c>
      <c r="K38" t="n">
        <v>1</v>
      </c>
      <c r="L38" t="n">
        <v>0</v>
      </c>
      <c r="M38" t="n">
        <v>1</v>
      </c>
      <c r="N38" t="n">
        <v>0</v>
      </c>
      <c r="O38" t="n">
        <v>0</v>
      </c>
      <c r="P38" t="n">
        <v>0</v>
      </c>
      <c r="Q38" t="n">
        <v>1</v>
      </c>
      <c r="R38" t="n">
        <v>1</v>
      </c>
      <c r="S38" t="n">
        <v>4</v>
      </c>
      <c r="T38" t="n">
        <v>9</v>
      </c>
      <c r="U38" t="n">
        <v>6</v>
      </c>
      <c r="V38" s="2" t="inlineStr">
        <is>
          <t>Knärot
Vedticka
Fläcknycklar
Nattviol</t>
        </is>
      </c>
      <c r="W38">
        <f>HYPERLINK("https://klasma.github.io/Logging_1907/artfynd/A 25548-2024 artfynd.xlsx", "A 25548-2024")</f>
        <v/>
      </c>
      <c r="X38">
        <f>HYPERLINK("https://klasma.github.io/Logging_1907/kartor/A 25548-2024 karta.png", "A 25548-2024")</f>
        <v/>
      </c>
      <c r="Y38">
        <f>HYPERLINK("https://klasma.github.io/Logging_1907/kartor_geotiff/A 25548-2024 georefererad karta.tif", "A 25548-2024")</f>
        <v/>
      </c>
      <c r="Z38">
        <f>HYPERLINK("https://klasma.github.io/Logging_1907/knärot/A 25548-2024 karta knärot.png", "A 25548-2024")</f>
        <v/>
      </c>
      <c r="AA38">
        <f>HYPERLINK("https://klasma.github.io/Logging_1907/klagomål/A 25548-2024 FSC-klagomål.docx", "A 25548-2024")</f>
        <v/>
      </c>
      <c r="AB38">
        <f>HYPERLINK("https://klasma.github.io/Logging_1907/klagomålsmail/A 25548-2024 FSC-klagomål mail.docx", "A 25548-2024")</f>
        <v/>
      </c>
      <c r="AC38">
        <f>HYPERLINK("https://klasma.github.io/Logging_1907/tillsyn/A 25548-2024 tillsynsbegäran.docx", "A 25548-2024")</f>
        <v/>
      </c>
      <c r="AD38">
        <f>HYPERLINK("https://klasma.github.io/Logging_1907/tillsynsmail/A 25548-2024 tillsynsbegäran mail.docx", "A 25548-2024")</f>
        <v/>
      </c>
    </row>
    <row r="39" ht="15" customHeight="1">
      <c r="A39" t="inlineStr">
        <is>
          <t>A 10819-2024</t>
        </is>
      </c>
      <c r="B39" t="inlineStr">
        <is>
          <t>avverkningsanmälan</t>
        </is>
      </c>
      <c r="C39" t="inlineStr">
        <is>
          <t>Föryngringsavverkning</t>
        </is>
      </c>
      <c r="D39" s="1" t="n">
        <v>45369</v>
      </c>
      <c r="E39" s="1" t="n">
        <v>46320</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46320</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66350-2021</t>
        </is>
      </c>
      <c r="B41" t="inlineStr">
        <is>
          <t>avverkningsanmälan</t>
        </is>
      </c>
      <c r="C41" t="inlineStr">
        <is>
          <t>Föryngringsavverkning</t>
        </is>
      </c>
      <c r="D41" s="1" t="n">
        <v>44518</v>
      </c>
      <c r="E41" s="1" t="n">
        <v>46320</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46320</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63146-2025</t>
        </is>
      </c>
      <c r="B43" t="inlineStr">
        <is>
          <t>avverkningsanmälan</t>
        </is>
      </c>
      <c r="C43" t="inlineStr">
        <is>
          <t>Föryngringsavverkning</t>
        </is>
      </c>
      <c r="D43" s="1" t="n">
        <v>46009</v>
      </c>
      <c r="E43" s="1" t="n">
        <v>46320</v>
      </c>
      <c r="F43" t="inlineStr">
        <is>
          <t>VÄSTMANLANDS LÄN</t>
        </is>
      </c>
      <c r="G43" t="inlineStr">
        <is>
          <t>SURAHAMMAR</t>
        </is>
      </c>
      <c r="H43" t="inlineStr">
        <is>
          <t>Bergvik skog väst AB</t>
        </is>
      </c>
      <c r="I43" t="n">
        <v>10.2</v>
      </c>
      <c r="J43" t="n">
        <v>1</v>
      </c>
      <c r="K43" t="n">
        <v>2</v>
      </c>
      <c r="L43" t="n">
        <v>0</v>
      </c>
      <c r="M43" t="n">
        <v>0</v>
      </c>
      <c r="N43" t="n">
        <v>0</v>
      </c>
      <c r="O43" t="n">
        <v>0</v>
      </c>
      <c r="P43" t="n">
        <v>0</v>
      </c>
      <c r="Q43" t="n">
        <v>0</v>
      </c>
      <c r="R43" t="n">
        <v>0</v>
      </c>
      <c r="S43" t="n">
        <v>3</v>
      </c>
      <c r="T43" t="n">
        <v>12</v>
      </c>
      <c r="U43" t="n">
        <v>0</v>
      </c>
      <c r="V43" s="2" t="inlineStr">
        <is>
          <t>Stor aspticka
Svart trolldruva
Blåsippa</t>
        </is>
      </c>
      <c r="W43">
        <f>HYPERLINK("https://klasma.github.io/Logging_1907/artfynd/A 63146-2025 artfynd.xlsx", "A 63146-2025")</f>
        <v/>
      </c>
      <c r="X43">
        <f>HYPERLINK("https://klasma.github.io/Logging_1907/kartor/A 63146-2025 karta.png", "A 63146-2025")</f>
        <v/>
      </c>
      <c r="Y43">
        <f>HYPERLINK("https://klasma.github.io/Logging_1907/kartor_geotiff/A 63146-2025 georefererad karta.tif", "A 63146-2025")</f>
        <v/>
      </c>
      <c r="AA43">
        <f>HYPERLINK("https://klasma.github.io/Logging_1907/klagomål/A 63146-2025 FSC-klagomål.docx", "A 63146-2025")</f>
        <v/>
      </c>
      <c r="AB43">
        <f>HYPERLINK("https://klasma.github.io/Logging_1907/klagomålsmail/A 63146-2025 FSC-klagomål mail.docx", "A 63146-2025")</f>
        <v/>
      </c>
      <c r="AC43">
        <f>HYPERLINK("https://klasma.github.io/Logging_1907/tillsyn/A 63146-2025 tillsynsbegäran.docx", "A 63146-2025")</f>
        <v/>
      </c>
      <c r="AD43">
        <f>HYPERLINK("https://klasma.github.io/Logging_1907/tillsynsmail/A 63146-2025 tillsynsbegäran mail.docx", "A 63146-2025")</f>
        <v/>
      </c>
    </row>
    <row r="44" ht="15" customHeight="1">
      <c r="A44" t="inlineStr">
        <is>
          <t>A 32443-2026</t>
        </is>
      </c>
      <c r="B44" t="inlineStr">
        <is>
          <t>avverkningsanmälan</t>
        </is>
      </c>
      <c r="C44" t="inlineStr">
        <is>
          <t>Föryngringsavverkning</t>
        </is>
      </c>
      <c r="D44" s="1" t="n">
        <v>46239</v>
      </c>
      <c r="E44" s="1" t="n">
        <v>46320</v>
      </c>
      <c r="F44" t="inlineStr">
        <is>
          <t>VÄSTMANLANDS LÄN</t>
        </is>
      </c>
      <c r="G44" t="inlineStr">
        <is>
          <t>SURAHAMMAR</t>
        </is>
      </c>
      <c r="H44" t="inlineStr">
        <is>
          <t>Allmännings- och besparingsskogar</t>
        </is>
      </c>
      <c r="I44" t="n">
        <v>9.5</v>
      </c>
      <c r="J44" t="n">
        <v>0</v>
      </c>
      <c r="K44" t="n">
        <v>0</v>
      </c>
      <c r="L44" t="n">
        <v>3</v>
      </c>
      <c r="M44" t="n">
        <v>0</v>
      </c>
      <c r="N44" t="n">
        <v>0</v>
      </c>
      <c r="O44" t="n">
        <v>0</v>
      </c>
      <c r="P44" t="n">
        <v>0</v>
      </c>
      <c r="Q44" t="n">
        <v>3</v>
      </c>
      <c r="R44" t="n">
        <v>0</v>
      </c>
      <c r="S44" t="n">
        <v>3</v>
      </c>
      <c r="T44" t="n">
        <v>5</v>
      </c>
      <c r="U44" t="n">
        <v>0</v>
      </c>
      <c r="V44" s="2" t="inlineStr">
        <is>
          <t>Motaggsvamp
Tallticka
Ullticka</t>
        </is>
      </c>
      <c r="W44">
        <f>HYPERLINK("https://klasma.github.io/Logging_1907/artfynd/A 32443-2026 artfynd.xlsx", "A 32443-2026")</f>
        <v/>
      </c>
      <c r="X44">
        <f>HYPERLINK("https://klasma.github.io/Logging_1907/kartor/A 32443-2026 karta.png", "A 32443-2026")</f>
        <v/>
      </c>
      <c r="Y44">
        <f>HYPERLINK("https://klasma.github.io/Logging_1907/kartor_geotiff/A 32443-2026 georefererad karta.tif", "A 32443-2026")</f>
        <v/>
      </c>
      <c r="AA44">
        <f>HYPERLINK("https://klasma.github.io/Logging_1907/klagomål/A 32443-2026 FSC-klagomål.docx", "A 32443-2026")</f>
        <v/>
      </c>
      <c r="AB44">
        <f>HYPERLINK("https://klasma.github.io/Logging_1907/klagomålsmail/A 32443-2026 FSC-klagomål mail.docx", "A 32443-2026")</f>
        <v/>
      </c>
      <c r="AC44">
        <f>HYPERLINK("https://klasma.github.io/Logging_1907/tillsyn/A 32443-2026 tillsynsbegäran.docx", "A 32443-2026")</f>
        <v/>
      </c>
      <c r="AD44">
        <f>HYPERLINK("https://klasma.github.io/Logging_1907/tillsynsmail/A 32443-2026 tillsynsbegäran mail.docx", "A 32443-2026")</f>
        <v/>
      </c>
    </row>
    <row r="45" ht="15" customHeight="1">
      <c r="A45" t="inlineStr">
        <is>
          <t>A 33935-2026</t>
        </is>
      </c>
      <c r="B45" t="inlineStr">
        <is>
          <t>avverkningsanmälan</t>
        </is>
      </c>
      <c r="C45" t="inlineStr">
        <is>
          <t>Föryngringsavverkning</t>
        </is>
      </c>
      <c r="D45" s="1" t="n">
        <v>46248</v>
      </c>
      <c r="E45" s="1" t="n">
        <v>46320</v>
      </c>
      <c r="F45" t="inlineStr">
        <is>
          <t>VÄSTMANLANDS LÄN</t>
        </is>
      </c>
      <c r="G45" t="inlineStr">
        <is>
          <t>SURAHAMMAR</t>
        </is>
      </c>
      <c r="H45" t="inlineStr">
        <is>
          <t>Bergvik skog väst AB</t>
        </is>
      </c>
      <c r="I45" t="n">
        <v>2.6</v>
      </c>
      <c r="J45" t="n">
        <v>2</v>
      </c>
      <c r="K45" t="n">
        <v>1</v>
      </c>
      <c r="L45" t="n">
        <v>1</v>
      </c>
      <c r="M45" t="n">
        <v>0</v>
      </c>
      <c r="N45" t="n">
        <v>0</v>
      </c>
      <c r="O45" t="n">
        <v>0</v>
      </c>
      <c r="P45" t="n">
        <v>0</v>
      </c>
      <c r="Q45" t="n">
        <v>1</v>
      </c>
      <c r="R45" t="n">
        <v>0</v>
      </c>
      <c r="S45" t="n">
        <v>3</v>
      </c>
      <c r="T45" t="n">
        <v>5</v>
      </c>
      <c r="U45" t="n">
        <v>0</v>
      </c>
      <c r="V45" s="2" t="inlineStr">
        <is>
          <t>Talltita
Mindre märgborre
Spillkråka</t>
        </is>
      </c>
      <c r="W45">
        <f>HYPERLINK("https://klasma.github.io/Logging_1907/artfynd/A 33935-2026 artfynd.xlsx", "A 33935-2026")</f>
        <v/>
      </c>
      <c r="X45">
        <f>HYPERLINK("https://klasma.github.io/Logging_1907/kartor/A 33935-2026 karta.png", "A 33935-2026")</f>
        <v/>
      </c>
      <c r="Y45">
        <f>HYPERLINK("https://klasma.github.io/Logging_1907/kartor_geotiff/A 33935-2026 georefererad karta.tif", "A 33935-2026")</f>
        <v/>
      </c>
      <c r="AA45">
        <f>HYPERLINK("https://klasma.github.io/Logging_1907/klagomål/A 33935-2026 FSC-klagomål.docx", "A 33935-2026")</f>
        <v/>
      </c>
      <c r="AB45">
        <f>HYPERLINK("https://klasma.github.io/Logging_1907/klagomålsmail/A 33935-2026 FSC-klagomål mail.docx", "A 33935-2026")</f>
        <v/>
      </c>
      <c r="AC45">
        <f>HYPERLINK("https://klasma.github.io/Logging_1907/tillsyn/A 33935-2026 tillsynsbegäran.docx", "A 33935-2026")</f>
        <v/>
      </c>
      <c r="AD45">
        <f>HYPERLINK("https://klasma.github.io/Logging_1907/tillsynsmail/A 33935-2026 tillsynsbegäran mail.docx", "A 33935-2026")</f>
        <v/>
      </c>
      <c r="AE45">
        <f>HYPERLINK("https://klasma.github.io/Logging_1907/fåglar/A 33935-2026 prioriterade fågelarter.docx", "A 33935-2026")</f>
        <v/>
      </c>
    </row>
    <row r="46" ht="15" customHeight="1">
      <c r="A46" t="inlineStr">
        <is>
          <t>A 69777-2021</t>
        </is>
      </c>
      <c r="B46" t="inlineStr">
        <is>
          <t>avverkningsanmälan</t>
        </is>
      </c>
      <c r="C46" t="inlineStr">
        <is>
          <t>Föryngringsavverkning</t>
        </is>
      </c>
      <c r="D46" s="1" t="n">
        <v>44532</v>
      </c>
      <c r="E46" s="1" t="n">
        <v>46320</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36264-2026</t>
        </is>
      </c>
      <c r="B47" t="inlineStr">
        <is>
          <t>avverkningsanmälan</t>
        </is>
      </c>
      <c r="C47" t="inlineStr">
        <is>
          <t>Föryngringsavverkning</t>
        </is>
      </c>
      <c r="D47" s="1" t="n">
        <v>46268</v>
      </c>
      <c r="E47" s="1" t="n">
        <v>46320</v>
      </c>
      <c r="F47" t="inlineStr">
        <is>
          <t>VÄSTMANLANDS LÄN</t>
        </is>
      </c>
      <c r="G47" t="inlineStr">
        <is>
          <t>SURAHAMMAR</t>
        </is>
      </c>
      <c r="H47" t="inlineStr">
        <is>
          <t>Sveaskog</t>
        </is>
      </c>
      <c r="I47" t="n">
        <v>2.4</v>
      </c>
      <c r="J47" t="n">
        <v>1</v>
      </c>
      <c r="K47" t="n">
        <v>0</v>
      </c>
      <c r="L47" t="n">
        <v>1</v>
      </c>
      <c r="M47" t="n">
        <v>1</v>
      </c>
      <c r="N47" t="n">
        <v>0</v>
      </c>
      <c r="O47" t="n">
        <v>0</v>
      </c>
      <c r="P47" t="n">
        <v>0</v>
      </c>
      <c r="Q47" t="n">
        <v>2</v>
      </c>
      <c r="R47" t="n">
        <v>1</v>
      </c>
      <c r="S47" t="n">
        <v>3</v>
      </c>
      <c r="T47" t="n">
        <v>3</v>
      </c>
      <c r="U47" t="n">
        <v>0</v>
      </c>
      <c r="V47" s="2" t="inlineStr">
        <is>
          <t>Grangråticka
Fjällig taggsvamp s.str.
Blåsippa</t>
        </is>
      </c>
      <c r="W47">
        <f>HYPERLINK("https://klasma.github.io/Logging_1907/artfynd/A 36264-2026 artfynd.xlsx", "A 36264-2026")</f>
        <v/>
      </c>
      <c r="X47">
        <f>HYPERLINK("https://klasma.github.io/Logging_1907/kartor/A 36264-2026 karta.png", "A 36264-2026")</f>
        <v/>
      </c>
      <c r="Y47">
        <f>HYPERLINK("https://klasma.github.io/Logging_1907/kartor_geotiff/A 36264-2026 georefererad karta.tif", "A 36264-2026")</f>
        <v/>
      </c>
      <c r="AA47">
        <f>HYPERLINK("https://klasma.github.io/Logging_1907/klagomål/A 36264-2026 FSC-klagomål.docx", "A 36264-2026")</f>
        <v/>
      </c>
      <c r="AB47">
        <f>HYPERLINK("https://klasma.github.io/Logging_1907/klagomålsmail/A 36264-2026 FSC-klagomål mail.docx", "A 36264-2026")</f>
        <v/>
      </c>
      <c r="AC47">
        <f>HYPERLINK("https://klasma.github.io/Logging_1907/tillsyn/A 36264-2026 tillsynsbegäran.docx", "A 36264-2026")</f>
        <v/>
      </c>
      <c r="AD47">
        <f>HYPERLINK("https://klasma.github.io/Logging_1907/tillsynsmail/A 36264-2026 tillsynsbegäran mail.docx", "A 36264-2026")</f>
        <v/>
      </c>
    </row>
    <row r="48" ht="15" customHeight="1">
      <c r="A48" t="inlineStr">
        <is>
          <t>A 49718-2023</t>
        </is>
      </c>
      <c r="B48" t="inlineStr">
        <is>
          <t>avverkningsanmälan</t>
        </is>
      </c>
      <c r="C48" t="inlineStr">
        <is>
          <t>Föryngringsavverkning</t>
        </is>
      </c>
      <c r="D48" s="1" t="n">
        <v>45212</v>
      </c>
      <c r="E48" s="1" t="n">
        <v>46320</v>
      </c>
      <c r="F48" t="inlineStr">
        <is>
          <t>VÄSTMANLANDS LÄN</t>
        </is>
      </c>
      <c r="G48" t="inlineStr">
        <is>
          <t>SURAHAMMAR</t>
        </is>
      </c>
      <c r="I48" t="n">
        <v>3.4</v>
      </c>
      <c r="J48" t="n">
        <v>1</v>
      </c>
      <c r="K48" t="n">
        <v>1</v>
      </c>
      <c r="L48" t="n">
        <v>2</v>
      </c>
      <c r="M48" t="n">
        <v>0</v>
      </c>
      <c r="N48" t="n">
        <v>0</v>
      </c>
      <c r="O48" t="n">
        <v>0</v>
      </c>
      <c r="P48" t="n">
        <v>0</v>
      </c>
      <c r="Q48" t="n">
        <v>2</v>
      </c>
      <c r="R48" t="n">
        <v>0</v>
      </c>
      <c r="S48" t="n">
        <v>3</v>
      </c>
      <c r="T48" t="n">
        <v>6</v>
      </c>
      <c r="U48" t="n">
        <v>6</v>
      </c>
      <c r="V48" s="2" t="inlineStr">
        <is>
          <t>Motaggsvamp
Talltita
Zontaggsvamp</t>
        </is>
      </c>
      <c r="W48">
        <f>HYPERLINK("https://klasma.github.io/Logging_1907/artfynd/A 49718-2023 artfynd.xlsx", "A 49718-2023")</f>
        <v/>
      </c>
      <c r="X48">
        <f>HYPERLINK("https://klasma.github.io/Logging_1907/kartor/A 49718-2023 karta.png", "A 49718-2023")</f>
        <v/>
      </c>
      <c r="Y48">
        <f>HYPERLINK("https://klasma.github.io/Logging_1907/kartor_geotiff/A 49718-2023 georefererad karta.tif", "A 49718-2023")</f>
        <v/>
      </c>
      <c r="AA48">
        <f>HYPERLINK("https://klasma.github.io/Logging_1907/klagomål/A 49718-2023 FSC-klagomål.docx", "A 49718-2023")</f>
        <v/>
      </c>
      <c r="AB48">
        <f>HYPERLINK("https://klasma.github.io/Logging_1907/klagomålsmail/A 49718-2023 FSC-klagomål mail.docx", "A 49718-2023")</f>
        <v/>
      </c>
      <c r="AC48">
        <f>HYPERLINK("https://klasma.github.io/Logging_1907/tillsyn/A 49718-2023 tillsynsbegäran.docx", "A 49718-2023")</f>
        <v/>
      </c>
      <c r="AD48">
        <f>HYPERLINK("https://klasma.github.io/Logging_1907/tillsynsmail/A 49718-2023 tillsynsbegäran mail.docx", "A 49718-2023")</f>
        <v/>
      </c>
      <c r="AE48">
        <f>HYPERLINK("https://klasma.github.io/Logging_1907/fåglar/A 49718-2023 prioriterade fågelarter.docx", "A 49718-2023")</f>
        <v/>
      </c>
    </row>
    <row r="49" ht="15" customHeight="1">
      <c r="A49" t="inlineStr">
        <is>
          <t>A 20535-2026</t>
        </is>
      </c>
      <c r="B49" t="inlineStr">
        <is>
          <t>avverkningsanmälan</t>
        </is>
      </c>
      <c r="C49" t="inlineStr">
        <is>
          <t>Avverkning för annat ändamål</t>
        </is>
      </c>
      <c r="D49" s="1" t="n">
        <v>46140</v>
      </c>
      <c r="E49" s="1" t="n">
        <v>46320</v>
      </c>
      <c r="F49" t="inlineStr">
        <is>
          <t>VÄSTMANLANDS LÄN</t>
        </is>
      </c>
      <c r="G49" t="inlineStr">
        <is>
          <t>SURAHAMMAR</t>
        </is>
      </c>
      <c r="H49" t="inlineStr">
        <is>
          <t>Bergvik skog väst AB</t>
        </is>
      </c>
      <c r="I49" t="n">
        <v>2.7</v>
      </c>
      <c r="J49" t="n">
        <v>2</v>
      </c>
      <c r="K49" t="n">
        <v>1</v>
      </c>
      <c r="L49" t="n">
        <v>1</v>
      </c>
      <c r="M49" t="n">
        <v>0</v>
      </c>
      <c r="N49" t="n">
        <v>0</v>
      </c>
      <c r="O49" t="n">
        <v>0</v>
      </c>
      <c r="P49" t="n">
        <v>0</v>
      </c>
      <c r="Q49" t="n">
        <v>1</v>
      </c>
      <c r="R49" t="n">
        <v>0</v>
      </c>
      <c r="S49" t="n">
        <v>3</v>
      </c>
      <c r="T49" t="n">
        <v>3</v>
      </c>
      <c r="U49" t="n">
        <v>3</v>
      </c>
      <c r="V49" s="2" t="inlineStr">
        <is>
          <t>Talltita
Blomkålssvamp
Tofsmes</t>
        </is>
      </c>
      <c r="W49">
        <f>HYPERLINK("https://klasma.github.io/Logging_1907/artfynd/A 20535-2026 artfynd.xlsx", "A 20535-2026")</f>
        <v/>
      </c>
      <c r="X49">
        <f>HYPERLINK("https://klasma.github.io/Logging_1907/kartor/A 20535-2026 karta.png", "A 20535-2026")</f>
        <v/>
      </c>
      <c r="Y49">
        <f>HYPERLINK("https://klasma.github.io/Logging_1907/kartor_geotiff/A 20535-2026 georefererad karta.tif", "A 20535-2026")</f>
        <v/>
      </c>
      <c r="AA49">
        <f>HYPERLINK("https://klasma.github.io/Logging_1907/klagomål/A 20535-2026 FSC-klagomål.docx", "A 20535-2026")</f>
        <v/>
      </c>
      <c r="AB49">
        <f>HYPERLINK("https://klasma.github.io/Logging_1907/klagomålsmail/A 20535-2026 FSC-klagomål mail.docx", "A 20535-2026")</f>
        <v/>
      </c>
      <c r="AC49">
        <f>HYPERLINK("https://klasma.github.io/Logging_1907/tillsyn/A 20535-2026 tillsynsbegäran.docx", "A 20535-2026")</f>
        <v/>
      </c>
      <c r="AD49">
        <f>HYPERLINK("https://klasma.github.io/Logging_1907/tillsynsmail/A 20535-2026 tillsynsbegäran mail.docx", "A 20535-2026")</f>
        <v/>
      </c>
      <c r="AE49">
        <f>HYPERLINK("https://klasma.github.io/Logging_1907/fåglar/A 20535-2026 prioriterade fågelarter.docx", "A 20535-2026")</f>
        <v/>
      </c>
    </row>
    <row r="50" ht="15" customHeight="1">
      <c r="A50" t="inlineStr">
        <is>
          <t>A 4082-2025</t>
        </is>
      </c>
      <c r="B50" t="inlineStr">
        <is>
          <t>avverkningsanmälan</t>
        </is>
      </c>
      <c r="C50" t="inlineStr">
        <is>
          <t>Föryngringsavverkning</t>
        </is>
      </c>
      <c r="D50" s="1" t="n">
        <v>45684</v>
      </c>
      <c r="E50" s="1" t="n">
        <v>46320</v>
      </c>
      <c r="F50" t="inlineStr">
        <is>
          <t>VÄSTMANLANDS LÄN</t>
        </is>
      </c>
      <c r="G50" t="inlineStr">
        <is>
          <t>SURAHAMMAR</t>
        </is>
      </c>
      <c r="H50" t="inlineStr">
        <is>
          <t>Bergvik skog väst AB</t>
        </is>
      </c>
      <c r="I50" t="n">
        <v>11.6</v>
      </c>
      <c r="J50" t="n">
        <v>2</v>
      </c>
      <c r="K50" t="n">
        <v>2</v>
      </c>
      <c r="L50" t="n">
        <v>0</v>
      </c>
      <c r="M50" t="n">
        <v>0</v>
      </c>
      <c r="N50" t="n">
        <v>0</v>
      </c>
      <c r="O50" t="n">
        <v>0</v>
      </c>
      <c r="P50" t="n">
        <v>0</v>
      </c>
      <c r="Q50" t="n">
        <v>0</v>
      </c>
      <c r="R50" t="n">
        <v>0</v>
      </c>
      <c r="S50" t="n">
        <v>3</v>
      </c>
      <c r="T50" t="n">
        <v>3</v>
      </c>
      <c r="U50" t="n">
        <v>1</v>
      </c>
      <c r="V50" s="2" t="inlineStr">
        <is>
          <t>Grönpyrola
Plattlummer
Lopplummer (aggregat)</t>
        </is>
      </c>
      <c r="W50">
        <f>HYPERLINK("https://klasma.github.io/Logging_1907/artfynd/A 4082-2025 artfynd.xlsx", "A 4082-2025")</f>
        <v/>
      </c>
      <c r="X50">
        <f>HYPERLINK("https://klasma.github.io/Logging_1907/kartor/A 4082-2025 karta.png", "A 4082-2025")</f>
        <v/>
      </c>
      <c r="Y50">
        <f>HYPERLINK("https://klasma.github.io/Logging_1907/kartor_geotiff/A 4082-2025 georefererad karta.tif", "A 4082-2025")</f>
        <v/>
      </c>
      <c r="AA50">
        <f>HYPERLINK("https://klasma.github.io/Logging_1907/klagomål/A 4082-2025 FSC-klagomål.docx", "A 4082-2025")</f>
        <v/>
      </c>
      <c r="AB50">
        <f>HYPERLINK("https://klasma.github.io/Logging_1907/klagomålsmail/A 4082-2025 FSC-klagomål mail.docx", "A 4082-2025")</f>
        <v/>
      </c>
      <c r="AC50">
        <f>HYPERLINK("https://klasma.github.io/Logging_1907/tillsyn/A 4082-2025 tillsynsbegäran.docx", "A 4082-2025")</f>
        <v/>
      </c>
      <c r="AD50">
        <f>HYPERLINK("https://klasma.github.io/Logging_1907/tillsynsmail/A 4082-2025 tillsynsbegäran mail.docx", "A 4082-2025")</f>
        <v/>
      </c>
    </row>
    <row r="51" ht="15" customHeight="1">
      <c r="A51" t="inlineStr">
        <is>
          <t>A 48128-2023</t>
        </is>
      </c>
      <c r="B51" t="inlineStr">
        <is>
          <t>avverkningsanmälan</t>
        </is>
      </c>
      <c r="C51" t="inlineStr">
        <is>
          <t>Föryngringsavverkning</t>
        </is>
      </c>
      <c r="D51" s="1" t="n">
        <v>45205</v>
      </c>
      <c r="E51" s="1" t="n">
        <v>46320</v>
      </c>
      <c r="F51" t="inlineStr">
        <is>
          <t>VÄSTMANLANDS LÄN</t>
        </is>
      </c>
      <c r="G51" t="inlineStr">
        <is>
          <t>SURAHAMMAR</t>
        </is>
      </c>
      <c r="H51" t="inlineStr">
        <is>
          <t>Allmännings- och besparingsskogar</t>
        </is>
      </c>
      <c r="I51" t="n">
        <v>11.8</v>
      </c>
      <c r="J51" t="n">
        <v>0</v>
      </c>
      <c r="K51" t="n">
        <v>1</v>
      </c>
      <c r="L51" t="n">
        <v>2</v>
      </c>
      <c r="M51" t="n">
        <v>0</v>
      </c>
      <c r="N51" t="n">
        <v>0</v>
      </c>
      <c r="O51" t="n">
        <v>0</v>
      </c>
      <c r="P51" t="n">
        <v>0</v>
      </c>
      <c r="Q51" t="n">
        <v>2</v>
      </c>
      <c r="R51" t="n">
        <v>0</v>
      </c>
      <c r="S51" t="n">
        <v>3</v>
      </c>
      <c r="T51" t="n">
        <v>3</v>
      </c>
      <c r="U51" t="n">
        <v>0</v>
      </c>
      <c r="V51" s="2" t="inlineStr">
        <is>
          <t>Jungfrulin
Svinrot
Vedticka</t>
        </is>
      </c>
      <c r="W51">
        <f>HYPERLINK("https://klasma.github.io/Logging_1907/artfynd/A 48128-2023 artfynd.xlsx", "A 48128-2023")</f>
        <v/>
      </c>
      <c r="X51">
        <f>HYPERLINK("https://klasma.github.io/Logging_1907/kartor/A 48128-2023 karta.png", "A 48128-2023")</f>
        <v/>
      </c>
      <c r="Y51">
        <f>HYPERLINK("https://klasma.github.io/Logging_1907/kartor_geotiff/A 48128-2023 georefererad karta.tif", "A 48128-2023")</f>
        <v/>
      </c>
      <c r="AA51">
        <f>HYPERLINK("https://klasma.github.io/Logging_1907/klagomål/A 48128-2023 FSC-klagomål.docx", "A 48128-2023")</f>
        <v/>
      </c>
      <c r="AB51">
        <f>HYPERLINK("https://klasma.github.io/Logging_1907/klagomålsmail/A 48128-2023 FSC-klagomål mail.docx", "A 48128-2023")</f>
        <v/>
      </c>
      <c r="AC51">
        <f>HYPERLINK("https://klasma.github.io/Logging_1907/tillsyn/A 48128-2023 tillsynsbegäran.docx", "A 48128-2023")</f>
        <v/>
      </c>
      <c r="AD51">
        <f>HYPERLINK("https://klasma.github.io/Logging_1907/tillsynsmail/A 48128-2023 tillsynsbegäran mail.docx", "A 48128-2023")</f>
        <v/>
      </c>
    </row>
    <row r="52" ht="15" customHeight="1">
      <c r="A52" t="inlineStr">
        <is>
          <t>A 42765-2022</t>
        </is>
      </c>
      <c r="B52" t="inlineStr">
        <is>
          <t>avverkningsanmälan</t>
        </is>
      </c>
      <c r="C52" t="inlineStr">
        <is>
          <t>Avverkning för annat ändamål</t>
        </is>
      </c>
      <c r="D52" s="1" t="n">
        <v>44832</v>
      </c>
      <c r="E52" s="1" t="n">
        <v>46320</v>
      </c>
      <c r="F52" t="inlineStr">
        <is>
          <t>VÄSTMANLANDS LÄN</t>
        </is>
      </c>
      <c r="G52" t="inlineStr">
        <is>
          <t>SURAHAMMAR</t>
        </is>
      </c>
      <c r="I52" t="n">
        <v>1.8</v>
      </c>
      <c r="J52" t="n">
        <v>1</v>
      </c>
      <c r="K52" t="n">
        <v>1</v>
      </c>
      <c r="L52" t="n">
        <v>1</v>
      </c>
      <c r="M52" t="n">
        <v>0</v>
      </c>
      <c r="N52" t="n">
        <v>0</v>
      </c>
      <c r="O52" t="n">
        <v>0</v>
      </c>
      <c r="P52" t="n">
        <v>0</v>
      </c>
      <c r="Q52" t="n">
        <v>1</v>
      </c>
      <c r="R52" t="n">
        <v>0</v>
      </c>
      <c r="S52" t="n">
        <v>3</v>
      </c>
      <c r="T52" t="n">
        <v>4</v>
      </c>
      <c r="U52" t="n">
        <v>1</v>
      </c>
      <c r="V52" s="2" t="inlineStr">
        <is>
          <t>Krusfrö
Barkticka
Blåsippa</t>
        </is>
      </c>
      <c r="W52">
        <f>HYPERLINK("https://klasma.github.io/Logging_1907/artfynd/A 42765-2022 artfynd.xlsx", "A 42765-2022")</f>
        <v/>
      </c>
      <c r="X52">
        <f>HYPERLINK("https://klasma.github.io/Logging_1907/kartor/A 42765-2022 karta.png", "A 42765-2022")</f>
        <v/>
      </c>
      <c r="Y52">
        <f>HYPERLINK("https://klasma.github.io/Logging_1907/kartor_geotiff/A 42765-2022 georefererad karta.tif", "A 42765-2022")</f>
        <v/>
      </c>
      <c r="AA52">
        <f>HYPERLINK("https://klasma.github.io/Logging_1907/klagomål/A 42765-2022 FSC-klagomål.docx", "A 42765-2022")</f>
        <v/>
      </c>
      <c r="AB52">
        <f>HYPERLINK("https://klasma.github.io/Logging_1907/klagomålsmail/A 42765-2022 FSC-klagomål mail.docx", "A 42765-2022")</f>
        <v/>
      </c>
      <c r="AC52">
        <f>HYPERLINK("https://klasma.github.io/Logging_1907/tillsyn/A 42765-2022 tillsynsbegäran.docx", "A 42765-2022")</f>
        <v/>
      </c>
      <c r="AD52">
        <f>HYPERLINK("https://klasma.github.io/Logging_1907/tillsynsmail/A 42765-2022 tillsynsbegäran mail.docx", "A 42765-2022")</f>
        <v/>
      </c>
    </row>
    <row r="53" ht="15" customHeight="1">
      <c r="A53" t="inlineStr">
        <is>
          <t>S 1450-2022</t>
        </is>
      </c>
      <c r="B53" t="inlineStr">
        <is>
          <t>samrådsanmälan</t>
        </is>
      </c>
      <c r="C53" t="inlineStr">
        <is>
          <t>Skogsgödsling</t>
        </is>
      </c>
      <c r="D53" s="1" t="n">
        <v>44635</v>
      </c>
      <c r="E53" s="1" t="n">
        <v>46320</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46320</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46320</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40403-2025</t>
        </is>
      </c>
      <c r="B56" t="inlineStr">
        <is>
          <t>avverkningsanmälan</t>
        </is>
      </c>
      <c r="C56" t="inlineStr">
        <is>
          <t>Föryngringsavverkning</t>
        </is>
      </c>
      <c r="D56" s="1" t="n">
        <v>45895</v>
      </c>
      <c r="E56" s="1" t="n">
        <v>46320</v>
      </c>
      <c r="F56" t="inlineStr">
        <is>
          <t>VÄSTMANLANDS LÄN</t>
        </is>
      </c>
      <c r="G56" t="inlineStr">
        <is>
          <t>SURAHAMMAR</t>
        </is>
      </c>
      <c r="H56" t="inlineStr">
        <is>
          <t>Kommuner</t>
        </is>
      </c>
      <c r="I56" t="n">
        <v>3.9</v>
      </c>
      <c r="J56" t="n">
        <v>1</v>
      </c>
      <c r="K56" t="n">
        <v>0</v>
      </c>
      <c r="L56" t="n">
        <v>0</v>
      </c>
      <c r="M56" t="n">
        <v>1</v>
      </c>
      <c r="N56" t="n">
        <v>0</v>
      </c>
      <c r="O56" t="n">
        <v>0</v>
      </c>
      <c r="P56" t="n">
        <v>0</v>
      </c>
      <c r="Q56" t="n">
        <v>1</v>
      </c>
      <c r="R56" t="n">
        <v>1</v>
      </c>
      <c r="S56" t="n">
        <v>2</v>
      </c>
      <c r="T56" t="n">
        <v>3</v>
      </c>
      <c r="U56" t="n">
        <v>1</v>
      </c>
      <c r="V56" s="2" t="inlineStr">
        <is>
          <t>Igelkott
Gröngöling</t>
        </is>
      </c>
      <c r="W56">
        <f>HYPERLINK("https://klasma.github.io/Logging_1907/artfynd/A 40403-2025 artfynd.xlsx", "A 40403-2025")</f>
        <v/>
      </c>
      <c r="X56">
        <f>HYPERLINK("https://klasma.github.io/Logging_1907/kartor/A 40403-2025 karta.png", "A 40403-2025")</f>
        <v/>
      </c>
      <c r="Y56">
        <f>HYPERLINK("https://klasma.github.io/Logging_1907/kartor_geotiff/A 40403-2025 georefererad karta.tif", "A 40403-2025")</f>
        <v/>
      </c>
      <c r="AA56">
        <f>HYPERLINK("https://klasma.github.io/Logging_1907/klagomål/A 40403-2025 FSC-klagomål.docx", "A 40403-2025")</f>
        <v/>
      </c>
      <c r="AB56">
        <f>HYPERLINK("https://klasma.github.io/Logging_1907/klagomålsmail/A 40403-2025 FSC-klagomål mail.docx", "A 40403-2025")</f>
        <v/>
      </c>
      <c r="AC56">
        <f>HYPERLINK("https://klasma.github.io/Logging_1907/tillsyn/A 40403-2025 tillsynsbegäran.docx", "A 40403-2025")</f>
        <v/>
      </c>
      <c r="AD56">
        <f>HYPERLINK("https://klasma.github.io/Logging_1907/tillsynsmail/A 40403-2025 tillsynsbegäran mail.docx", "A 40403-2025")</f>
        <v/>
      </c>
    </row>
    <row r="57" ht="15" customHeight="1">
      <c r="A57" t="inlineStr">
        <is>
          <t>A 56362-2023</t>
        </is>
      </c>
      <c r="B57" t="inlineStr">
        <is>
          <t>avverkningsanmälan</t>
        </is>
      </c>
      <c r="C57" t="inlineStr">
        <is>
          <t>Föryngringsavverkning</t>
        </is>
      </c>
      <c r="D57" s="1" t="n">
        <v>45236</v>
      </c>
      <c r="E57" s="1" t="n">
        <v>46320</v>
      </c>
      <c r="F57" t="inlineStr">
        <is>
          <t>VÄSTMANLANDS LÄN</t>
        </is>
      </c>
      <c r="G57" t="inlineStr">
        <is>
          <t>SURAHAMMAR</t>
        </is>
      </c>
      <c r="H57" t="inlineStr">
        <is>
          <t>Bergvik skog väst AB</t>
        </is>
      </c>
      <c r="I57" t="n">
        <v>15.2</v>
      </c>
      <c r="J57" t="n">
        <v>1</v>
      </c>
      <c r="K57" t="n">
        <v>1</v>
      </c>
      <c r="L57" t="n">
        <v>0</v>
      </c>
      <c r="M57" t="n">
        <v>1</v>
      </c>
      <c r="N57" t="n">
        <v>0</v>
      </c>
      <c r="O57" t="n">
        <v>0</v>
      </c>
      <c r="P57" t="n">
        <v>0</v>
      </c>
      <c r="Q57" t="n">
        <v>1</v>
      </c>
      <c r="R57" t="n">
        <v>1</v>
      </c>
      <c r="S57" t="n">
        <v>2</v>
      </c>
      <c r="T57" t="n">
        <v>2</v>
      </c>
      <c r="U57" t="n">
        <v>1</v>
      </c>
      <c r="V57" s="2" t="inlineStr">
        <is>
          <t>Väddnätfjäril
Grönpyrola</t>
        </is>
      </c>
      <c r="W57">
        <f>HYPERLINK("https://klasma.github.io/Logging_1907/artfynd/A 56362-2023 artfynd.xlsx", "A 56362-2023")</f>
        <v/>
      </c>
      <c r="X57">
        <f>HYPERLINK("https://klasma.github.io/Logging_1907/kartor/A 56362-2023 karta.png", "A 56362-2023")</f>
        <v/>
      </c>
      <c r="Y57">
        <f>HYPERLINK("https://klasma.github.io/Logging_1907/kartor_geotiff/A 56362-2023 georefererad karta.tif", "A 56362-2023")</f>
        <v/>
      </c>
      <c r="AA57">
        <f>HYPERLINK("https://klasma.github.io/Logging_1907/klagomål/A 56362-2023 FSC-klagomål.docx", "A 56362-2023")</f>
        <v/>
      </c>
      <c r="AB57">
        <f>HYPERLINK("https://klasma.github.io/Logging_1907/klagomålsmail/A 56362-2023 FSC-klagomål mail.docx", "A 56362-2023")</f>
        <v/>
      </c>
      <c r="AC57">
        <f>HYPERLINK("https://klasma.github.io/Logging_1907/tillsyn/A 56362-2023 tillsynsbegäran.docx", "A 56362-2023")</f>
        <v/>
      </c>
      <c r="AD57">
        <f>HYPERLINK("https://klasma.github.io/Logging_1907/tillsynsmail/A 56362-2023 tillsynsbegäran mail.docx", "A 56362-2023")</f>
        <v/>
      </c>
    </row>
    <row r="58" ht="15" customHeight="1">
      <c r="A58" t="inlineStr">
        <is>
          <t>A 63138-2025</t>
        </is>
      </c>
      <c r="B58" t="inlineStr">
        <is>
          <t>avverkningsanmälan</t>
        </is>
      </c>
      <c r="C58" t="inlineStr">
        <is>
          <t>Föryngringsavverkning</t>
        </is>
      </c>
      <c r="D58" s="1" t="n">
        <v>46009</v>
      </c>
      <c r="E58" s="1" t="n">
        <v>46320</v>
      </c>
      <c r="F58" t="inlineStr">
        <is>
          <t>VÄSTMANLANDS LÄN</t>
        </is>
      </c>
      <c r="G58" t="inlineStr">
        <is>
          <t>SURAHAMMAR</t>
        </is>
      </c>
      <c r="H58" t="inlineStr">
        <is>
          <t>Bergvik skog väst AB</t>
        </is>
      </c>
      <c r="I58" t="n">
        <v>2.5</v>
      </c>
      <c r="J58" t="n">
        <v>1</v>
      </c>
      <c r="K58" t="n">
        <v>1</v>
      </c>
      <c r="L58" t="n">
        <v>0</v>
      </c>
      <c r="M58" t="n">
        <v>0</v>
      </c>
      <c r="N58" t="n">
        <v>0</v>
      </c>
      <c r="O58" t="n">
        <v>0</v>
      </c>
      <c r="P58" t="n">
        <v>0</v>
      </c>
      <c r="Q58" t="n">
        <v>0</v>
      </c>
      <c r="R58" t="n">
        <v>0</v>
      </c>
      <c r="S58" t="n">
        <v>2</v>
      </c>
      <c r="T58" t="n">
        <v>3</v>
      </c>
      <c r="U58" t="n">
        <v>2</v>
      </c>
      <c r="V58" s="2" t="inlineStr">
        <is>
          <t>Mindre märgborre
Tjäder</t>
        </is>
      </c>
      <c r="W58">
        <f>HYPERLINK("https://klasma.github.io/Logging_1907/artfynd/A 63138-2025 artfynd.xlsx", "A 63138-2025")</f>
        <v/>
      </c>
      <c r="X58">
        <f>HYPERLINK("https://klasma.github.io/Logging_1907/kartor/A 63138-2025 karta.png", "A 63138-2025")</f>
        <v/>
      </c>
      <c r="Y58">
        <f>HYPERLINK("https://klasma.github.io/Logging_1907/kartor_geotiff/A 63138-2025 georefererad karta.tif", "A 63138-2025")</f>
        <v/>
      </c>
      <c r="AA58">
        <f>HYPERLINK("https://klasma.github.io/Logging_1907/klagomål/A 63138-2025 FSC-klagomål.docx", "A 63138-2025")</f>
        <v/>
      </c>
      <c r="AB58">
        <f>HYPERLINK("https://klasma.github.io/Logging_1907/klagomålsmail/A 63138-2025 FSC-klagomål mail.docx", "A 63138-2025")</f>
        <v/>
      </c>
      <c r="AC58">
        <f>HYPERLINK("https://klasma.github.io/Logging_1907/tillsyn/A 63138-2025 tillsynsbegäran.docx", "A 63138-2025")</f>
        <v/>
      </c>
      <c r="AD58">
        <f>HYPERLINK("https://klasma.github.io/Logging_1907/tillsynsmail/A 63138-2025 tillsynsbegäran mail.docx", "A 63138-2025")</f>
        <v/>
      </c>
      <c r="AE58">
        <f>HYPERLINK("https://klasma.github.io/Logging_1907/fåglar/A 63138-2025 prioriterade fågelarter.docx", "A 63138-2025")</f>
        <v/>
      </c>
    </row>
    <row r="59" ht="15" customHeight="1">
      <c r="A59" t="inlineStr">
        <is>
          <t>A 13788-2025</t>
        </is>
      </c>
      <c r="B59" t="inlineStr">
        <is>
          <t>avverkningsanmälan</t>
        </is>
      </c>
      <c r="C59" t="inlineStr">
        <is>
          <t>Föryngringsavverkning</t>
        </is>
      </c>
      <c r="D59" s="1" t="n">
        <v>45737</v>
      </c>
      <c r="E59" s="1" t="n">
        <v>46320</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41395-2026</t>
        </is>
      </c>
      <c r="B60" t="inlineStr">
        <is>
          <t>avverkningsanmälan</t>
        </is>
      </c>
      <c r="C60" t="inlineStr">
        <is>
          <t>Föryngringsavverkning</t>
        </is>
      </c>
      <c r="D60" s="1" t="n">
        <v>46301</v>
      </c>
      <c r="E60" s="1" t="n">
        <v>46320</v>
      </c>
      <c r="F60" t="inlineStr">
        <is>
          <t>VÄSTMANLANDS LÄN</t>
        </is>
      </c>
      <c r="G60" t="inlineStr">
        <is>
          <t>SURAHAMMAR</t>
        </is>
      </c>
      <c r="I60" t="n">
        <v>1.8</v>
      </c>
      <c r="J60" t="n">
        <v>1</v>
      </c>
      <c r="K60" t="n">
        <v>1</v>
      </c>
      <c r="L60" t="n">
        <v>0</v>
      </c>
      <c r="M60" t="n">
        <v>1</v>
      </c>
      <c r="N60" t="n">
        <v>0</v>
      </c>
      <c r="O60" t="n">
        <v>0</v>
      </c>
      <c r="P60" t="n">
        <v>0</v>
      </c>
      <c r="Q60" t="n">
        <v>1</v>
      </c>
      <c r="R60" t="n">
        <v>1</v>
      </c>
      <c r="S60" t="n">
        <v>2</v>
      </c>
      <c r="T60" t="n">
        <v>3</v>
      </c>
      <c r="U60" t="n">
        <v>0</v>
      </c>
      <c r="V60" s="2" t="inlineStr">
        <is>
          <t>Knärot
Grönpyrola</t>
        </is>
      </c>
      <c r="W60">
        <f>HYPERLINK("https://klasma.github.io/Logging_1907/artfynd/A 41395-2026 artfynd.xlsx", "A 41395-2026")</f>
        <v/>
      </c>
      <c r="X60">
        <f>HYPERLINK("https://klasma.github.io/Logging_1907/kartor/A 41395-2026 karta.png", "A 41395-2026")</f>
        <v/>
      </c>
      <c r="Y60">
        <f>HYPERLINK("https://klasma.github.io/Logging_1907/kartor_geotiff/A 41395-2026 georefererad karta.tif", "A 41395-2026")</f>
        <v/>
      </c>
      <c r="Z60">
        <f>HYPERLINK("https://klasma.github.io/Logging_1907/knärot/A 41395-2026 karta knärot.png", "A 41395-2026")</f>
        <v/>
      </c>
      <c r="AA60">
        <f>HYPERLINK("https://klasma.github.io/Logging_1907/klagomål/A 41395-2026 FSC-klagomål.docx", "A 41395-2026")</f>
        <v/>
      </c>
      <c r="AB60">
        <f>HYPERLINK("https://klasma.github.io/Logging_1907/klagomålsmail/A 41395-2026 FSC-klagomål mail.docx", "A 41395-2026")</f>
        <v/>
      </c>
      <c r="AC60">
        <f>HYPERLINK("https://klasma.github.io/Logging_1907/tillsyn/A 41395-2026 tillsynsbegäran.docx", "A 41395-2026")</f>
        <v/>
      </c>
      <c r="AD60">
        <f>HYPERLINK("https://klasma.github.io/Logging_1907/tillsynsmail/A 41395-2026 tillsynsbegäran mail.docx", "A 41395-2026")</f>
        <v/>
      </c>
    </row>
    <row r="61" ht="15" customHeight="1">
      <c r="A61" t="inlineStr">
        <is>
          <t>A 37013-2025</t>
        </is>
      </c>
      <c r="B61" t="inlineStr">
        <is>
          <t>avverkningsanmälan</t>
        </is>
      </c>
      <c r="C61" t="inlineStr">
        <is>
          <t>Föryngringsavverkning</t>
        </is>
      </c>
      <c r="D61" s="1" t="n">
        <v>45874</v>
      </c>
      <c r="E61" s="1" t="n">
        <v>46320</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14001-2023</t>
        </is>
      </c>
      <c r="B62" t="inlineStr">
        <is>
          <t>avverkningsanmälan</t>
        </is>
      </c>
      <c r="C62" t="inlineStr">
        <is>
          <t>Föryngringsavverkning</t>
        </is>
      </c>
      <c r="D62" s="1" t="n">
        <v>45007</v>
      </c>
      <c r="E62" s="1" t="n">
        <v>46320</v>
      </c>
      <c r="F62" t="inlineStr">
        <is>
          <t>VÄSTMANLANDS LÄN</t>
        </is>
      </c>
      <c r="G62" t="inlineStr">
        <is>
          <t>SURAHAMMAR</t>
        </is>
      </c>
      <c r="H62" t="inlineStr">
        <is>
          <t>Bergvik skog väst AB</t>
        </is>
      </c>
      <c r="I62" t="n">
        <v>1</v>
      </c>
      <c r="J62" t="n">
        <v>0</v>
      </c>
      <c r="K62" t="n">
        <v>0</v>
      </c>
      <c r="L62" t="n">
        <v>1</v>
      </c>
      <c r="M62" t="n">
        <v>1</v>
      </c>
      <c r="N62" t="n">
        <v>0</v>
      </c>
      <c r="O62" t="n">
        <v>0</v>
      </c>
      <c r="P62" t="n">
        <v>0</v>
      </c>
      <c r="Q62" t="n">
        <v>2</v>
      </c>
      <c r="R62" t="n">
        <v>1</v>
      </c>
      <c r="S62" t="n">
        <v>2</v>
      </c>
      <c r="T62" t="n">
        <v>2</v>
      </c>
      <c r="U62" t="n">
        <v>0</v>
      </c>
      <c r="V62" s="2" t="inlineStr">
        <is>
          <t>Garnlav
Motaggsvamp</t>
        </is>
      </c>
      <c r="W62">
        <f>HYPERLINK("https://klasma.github.io/Logging_1907/artfynd/A 14001-2023 artfynd.xlsx", "A 14001-2023")</f>
        <v/>
      </c>
      <c r="X62">
        <f>HYPERLINK("https://klasma.github.io/Logging_1907/kartor/A 14001-2023 karta.png", "A 14001-2023")</f>
        <v/>
      </c>
      <c r="Y62">
        <f>HYPERLINK("https://klasma.github.io/Logging_1907/kartor_geotiff/A 14001-2023 georefererad karta.tif", "A 14001-2023")</f>
        <v/>
      </c>
      <c r="AA62">
        <f>HYPERLINK("https://klasma.github.io/Logging_1907/klagomål/A 14001-2023 FSC-klagomål.docx", "A 14001-2023")</f>
        <v/>
      </c>
      <c r="AB62">
        <f>HYPERLINK("https://klasma.github.io/Logging_1907/klagomålsmail/A 14001-2023 FSC-klagomål mail.docx", "A 14001-2023")</f>
        <v/>
      </c>
      <c r="AC62">
        <f>HYPERLINK("https://klasma.github.io/Logging_1907/tillsyn/A 14001-2023 tillsynsbegäran.docx", "A 14001-2023")</f>
        <v/>
      </c>
      <c r="AD62">
        <f>HYPERLINK("https://klasma.github.io/Logging_1907/tillsynsmail/A 14001-2023 tillsynsbegäran mail.docx", "A 14001-2023")</f>
        <v/>
      </c>
    </row>
    <row r="63" ht="15" customHeight="1">
      <c r="A63" t="inlineStr">
        <is>
          <t>A 36261-2026</t>
        </is>
      </c>
      <c r="B63" t="inlineStr">
        <is>
          <t>avverkningsanmälan</t>
        </is>
      </c>
      <c r="C63" t="inlineStr">
        <is>
          <t>Föryngringsavverkning</t>
        </is>
      </c>
      <c r="D63" s="1" t="n">
        <v>46268</v>
      </c>
      <c r="E63" s="1" t="n">
        <v>46320</v>
      </c>
      <c r="F63" t="inlineStr">
        <is>
          <t>VÄSTMANLANDS LÄN</t>
        </is>
      </c>
      <c r="G63" t="inlineStr">
        <is>
          <t>SURAHAMMAR</t>
        </is>
      </c>
      <c r="H63" t="inlineStr">
        <is>
          <t>Sveaskog</t>
        </is>
      </c>
      <c r="I63" t="n">
        <v>7.9</v>
      </c>
      <c r="J63" t="n">
        <v>1</v>
      </c>
      <c r="K63" t="n">
        <v>0</v>
      </c>
      <c r="L63" t="n">
        <v>1</v>
      </c>
      <c r="M63" t="n">
        <v>0</v>
      </c>
      <c r="N63" t="n">
        <v>0</v>
      </c>
      <c r="O63" t="n">
        <v>0</v>
      </c>
      <c r="P63" t="n">
        <v>0</v>
      </c>
      <c r="Q63" t="n">
        <v>1</v>
      </c>
      <c r="R63" t="n">
        <v>0</v>
      </c>
      <c r="S63" t="n">
        <v>2</v>
      </c>
      <c r="T63" t="n">
        <v>2</v>
      </c>
      <c r="U63" t="n">
        <v>0</v>
      </c>
      <c r="V63" s="2" t="inlineStr">
        <is>
          <t>Krusfrö
Revlummer</t>
        </is>
      </c>
      <c r="W63">
        <f>HYPERLINK("https://klasma.github.io/Logging_1907/artfynd/A 36261-2026 artfynd.xlsx", "A 36261-2026")</f>
        <v/>
      </c>
      <c r="X63">
        <f>HYPERLINK("https://klasma.github.io/Logging_1907/kartor/A 36261-2026 karta.png", "A 36261-2026")</f>
        <v/>
      </c>
      <c r="Y63">
        <f>HYPERLINK("https://klasma.github.io/Logging_1907/kartor_geotiff/A 36261-2026 georefererad karta.tif", "A 36261-2026")</f>
        <v/>
      </c>
      <c r="AA63">
        <f>HYPERLINK("https://klasma.github.io/Logging_1907/klagomål/A 36261-2026 FSC-klagomål.docx", "A 36261-2026")</f>
        <v/>
      </c>
      <c r="AB63">
        <f>HYPERLINK("https://klasma.github.io/Logging_1907/klagomålsmail/A 36261-2026 FSC-klagomål mail.docx", "A 36261-2026")</f>
        <v/>
      </c>
      <c r="AC63">
        <f>HYPERLINK("https://klasma.github.io/Logging_1907/tillsyn/A 36261-2026 tillsynsbegäran.docx", "A 36261-2026")</f>
        <v/>
      </c>
      <c r="AD63">
        <f>HYPERLINK("https://klasma.github.io/Logging_1907/tillsynsmail/A 36261-2026 tillsynsbegäran mail.docx", "A 36261-2026")</f>
        <v/>
      </c>
    </row>
    <row r="64" ht="15" customHeight="1">
      <c r="A64" t="inlineStr">
        <is>
          <t>A 47453-2024</t>
        </is>
      </c>
      <c r="B64" t="inlineStr">
        <is>
          <t>avverkningsanmälan</t>
        </is>
      </c>
      <c r="C64" t="inlineStr">
        <is>
          <t>Föryngringsavverkning</t>
        </is>
      </c>
      <c r="D64" s="1" t="n">
        <v>45587</v>
      </c>
      <c r="E64" s="1" t="n">
        <v>46320</v>
      </c>
      <c r="F64" t="inlineStr">
        <is>
          <t>VÄSTMANLANDS LÄN</t>
        </is>
      </c>
      <c r="G64" t="inlineStr">
        <is>
          <t>SURAHAMMAR</t>
        </is>
      </c>
      <c r="I64" t="n">
        <v>5.1</v>
      </c>
      <c r="J64" t="n">
        <v>2</v>
      </c>
      <c r="K64" t="n">
        <v>0</v>
      </c>
      <c r="L64" t="n">
        <v>1</v>
      </c>
      <c r="M64" t="n">
        <v>0</v>
      </c>
      <c r="N64" t="n">
        <v>0</v>
      </c>
      <c r="O64" t="n">
        <v>0</v>
      </c>
      <c r="P64" t="n">
        <v>0</v>
      </c>
      <c r="Q64" t="n">
        <v>1</v>
      </c>
      <c r="R64" t="n">
        <v>0</v>
      </c>
      <c r="S64" t="n">
        <v>2</v>
      </c>
      <c r="T64" t="n">
        <v>2</v>
      </c>
      <c r="U64" t="n">
        <v>1</v>
      </c>
      <c r="V64" s="2" t="inlineStr">
        <is>
          <t>Göktyta
Gröngöling</t>
        </is>
      </c>
      <c r="W64">
        <f>HYPERLINK("https://klasma.github.io/Logging_1907/artfynd/A 47453-2024 artfynd.xlsx", "A 47453-2024")</f>
        <v/>
      </c>
      <c r="X64">
        <f>HYPERLINK("https://klasma.github.io/Logging_1907/kartor/A 47453-2024 karta.png", "A 47453-2024")</f>
        <v/>
      </c>
      <c r="Y64">
        <f>HYPERLINK("https://klasma.github.io/Logging_1907/kartor_geotiff/A 47453-2024 georefererad karta.tif", "A 47453-2024")</f>
        <v/>
      </c>
      <c r="AA64">
        <f>HYPERLINK("https://klasma.github.io/Logging_1907/klagomål/A 47453-2024 FSC-klagomål.docx", "A 47453-2024")</f>
        <v/>
      </c>
      <c r="AB64">
        <f>HYPERLINK("https://klasma.github.io/Logging_1907/klagomålsmail/A 47453-2024 FSC-klagomål mail.docx", "A 47453-2024")</f>
        <v/>
      </c>
      <c r="AC64">
        <f>HYPERLINK("https://klasma.github.io/Logging_1907/tillsyn/A 47453-2024 tillsynsbegäran.docx", "A 47453-2024")</f>
        <v/>
      </c>
      <c r="AD64">
        <f>HYPERLINK("https://klasma.github.io/Logging_1907/tillsynsmail/A 47453-2024 tillsynsbegäran mail.docx", "A 47453-2024")</f>
        <v/>
      </c>
      <c r="AE64">
        <f>HYPERLINK("https://klasma.github.io/Logging_1907/fåglar/A 47453-2024 prioriterade fågelarter.docx", "A 47453-2024")</f>
        <v/>
      </c>
    </row>
    <row r="65" ht="15" customHeight="1">
      <c r="A65" t="inlineStr">
        <is>
          <t>A 11501-2023</t>
        </is>
      </c>
      <c r="B65" t="inlineStr">
        <is>
          <t>avverkningsanmälan</t>
        </is>
      </c>
      <c r="C65" t="inlineStr">
        <is>
          <t>Föryngringsavverkning</t>
        </is>
      </c>
      <c r="D65" s="1" t="n">
        <v>44991</v>
      </c>
      <c r="E65" s="1" t="n">
        <v>46320</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41204-2023</t>
        </is>
      </c>
      <c r="B66" t="inlineStr">
        <is>
          <t>avverkningsanmälan</t>
        </is>
      </c>
      <c r="C66" t="inlineStr">
        <is>
          <t>Föryngringsavverkning</t>
        </is>
      </c>
      <c r="D66" s="1" t="n">
        <v>45174</v>
      </c>
      <c r="E66" s="1" t="n">
        <v>46320</v>
      </c>
      <c r="F66" t="inlineStr">
        <is>
          <t>VÄSTMANLANDS LÄN</t>
        </is>
      </c>
      <c r="G66" t="inlineStr">
        <is>
          <t>SURAHAMMAR</t>
        </is>
      </c>
      <c r="I66" t="n">
        <v>1</v>
      </c>
      <c r="J66" t="n">
        <v>1</v>
      </c>
      <c r="K66" t="n">
        <v>0</v>
      </c>
      <c r="L66" t="n">
        <v>1</v>
      </c>
      <c r="M66" t="n">
        <v>1</v>
      </c>
      <c r="N66" t="n">
        <v>0</v>
      </c>
      <c r="O66" t="n">
        <v>0</v>
      </c>
      <c r="P66" t="n">
        <v>0</v>
      </c>
      <c r="Q66" t="n">
        <v>2</v>
      </c>
      <c r="R66" t="n">
        <v>1</v>
      </c>
      <c r="S66" t="n">
        <v>2</v>
      </c>
      <c r="T66" t="n">
        <v>5</v>
      </c>
      <c r="U66" t="n">
        <v>0</v>
      </c>
      <c r="V66" s="2" t="inlineStr">
        <is>
          <t>Knärot
Vedtrappmossa</t>
        </is>
      </c>
      <c r="W66">
        <f>HYPERLINK("https://klasma.github.io/Logging_1907/artfynd/A 41204-2023 artfynd.xlsx", "A 41204-2023")</f>
        <v/>
      </c>
      <c r="X66">
        <f>HYPERLINK("https://klasma.github.io/Logging_1907/kartor/A 41204-2023 karta.png", "A 41204-2023")</f>
        <v/>
      </c>
      <c r="Y66">
        <f>HYPERLINK("https://klasma.github.io/Logging_1907/kartor_geotiff/A 41204-2023 georefererad karta.tif", "A 41204-2023")</f>
        <v/>
      </c>
      <c r="Z66">
        <f>HYPERLINK("https://klasma.github.io/Logging_1907/knärot/A 41204-2023 karta knärot.png", "A 41204-2023")</f>
        <v/>
      </c>
      <c r="AA66">
        <f>HYPERLINK("https://klasma.github.io/Logging_1907/klagomål/A 41204-2023 FSC-klagomål.docx", "A 41204-2023")</f>
        <v/>
      </c>
      <c r="AB66">
        <f>HYPERLINK("https://klasma.github.io/Logging_1907/klagomålsmail/A 41204-2023 FSC-klagomål mail.docx", "A 41204-2023")</f>
        <v/>
      </c>
      <c r="AC66">
        <f>HYPERLINK("https://klasma.github.io/Logging_1907/tillsyn/A 41204-2023 tillsynsbegäran.docx", "A 41204-2023")</f>
        <v/>
      </c>
      <c r="AD66">
        <f>HYPERLINK("https://klasma.github.io/Logging_1907/tillsynsmail/A 41204-2023 tillsynsbegäran mail.docx", "A 41204-2023")</f>
        <v/>
      </c>
    </row>
    <row r="67" ht="15" customHeight="1">
      <c r="A67" t="inlineStr">
        <is>
          <t>A 30074-2023</t>
        </is>
      </c>
      <c r="B67" t="inlineStr">
        <is>
          <t>avverkningsanmälan</t>
        </is>
      </c>
      <c r="C67" t="inlineStr">
        <is>
          <t>Föryngringsavverkning</t>
        </is>
      </c>
      <c r="D67" s="1" t="n">
        <v>45110</v>
      </c>
      <c r="E67" s="1" t="n">
        <v>46320</v>
      </c>
      <c r="F67" t="inlineStr">
        <is>
          <t>VÄSTMANLANDS LÄN</t>
        </is>
      </c>
      <c r="G67" t="inlineStr">
        <is>
          <t>SURAHAMMAR</t>
        </is>
      </c>
      <c r="H67" t="inlineStr">
        <is>
          <t>Sveaskog</t>
        </is>
      </c>
      <c r="I67" t="n">
        <v>1.1</v>
      </c>
      <c r="J67" t="n">
        <v>1</v>
      </c>
      <c r="K67" t="n">
        <v>1</v>
      </c>
      <c r="L67" t="n">
        <v>0</v>
      </c>
      <c r="M67" t="n">
        <v>0</v>
      </c>
      <c r="N67" t="n">
        <v>0</v>
      </c>
      <c r="O67" t="n">
        <v>0</v>
      </c>
      <c r="P67" t="n">
        <v>0</v>
      </c>
      <c r="Q67" t="n">
        <v>0</v>
      </c>
      <c r="R67" t="n">
        <v>0</v>
      </c>
      <c r="S67" t="n">
        <v>2</v>
      </c>
      <c r="T67" t="n">
        <v>2</v>
      </c>
      <c r="U67" t="n">
        <v>0</v>
      </c>
      <c r="V67" s="2" t="inlineStr">
        <is>
          <t>Grönpyrola
Revlummer</t>
        </is>
      </c>
      <c r="W67">
        <f>HYPERLINK("https://klasma.github.io/Logging_1907/artfynd/A 30074-2023 artfynd.xlsx", "A 30074-2023")</f>
        <v/>
      </c>
      <c r="X67">
        <f>HYPERLINK("https://klasma.github.io/Logging_1907/kartor/A 30074-2023 karta.png", "A 30074-2023")</f>
        <v/>
      </c>
      <c r="Y67">
        <f>HYPERLINK("https://klasma.github.io/Logging_1907/kartor_geotiff/A 30074-2023 georefererad karta.tif", "A 30074-2023")</f>
        <v/>
      </c>
      <c r="AA67">
        <f>HYPERLINK("https://klasma.github.io/Logging_1907/klagomål/A 30074-2023 FSC-klagomål.docx", "A 30074-2023")</f>
        <v/>
      </c>
      <c r="AB67">
        <f>HYPERLINK("https://klasma.github.io/Logging_1907/klagomålsmail/A 30074-2023 FSC-klagomål mail.docx", "A 30074-2023")</f>
        <v/>
      </c>
      <c r="AC67">
        <f>HYPERLINK("https://klasma.github.io/Logging_1907/tillsyn/A 30074-2023 tillsynsbegäran.docx", "A 30074-2023")</f>
        <v/>
      </c>
      <c r="AD67">
        <f>HYPERLINK("https://klasma.github.io/Logging_1907/tillsynsmail/A 30074-2023 tillsynsbegäran mail.docx", "A 30074-2023")</f>
        <v/>
      </c>
    </row>
    <row r="68" ht="15" customHeight="1">
      <c r="A68" t="inlineStr">
        <is>
          <t>A 13971-2023</t>
        </is>
      </c>
      <c r="B68" t="inlineStr">
        <is>
          <t>avverkningsanmälan</t>
        </is>
      </c>
      <c r="C68" t="inlineStr">
        <is>
          <t>Föryngringsavverkning</t>
        </is>
      </c>
      <c r="D68" s="1" t="n">
        <v>45007</v>
      </c>
      <c r="E68" s="1" t="n">
        <v>46320</v>
      </c>
      <c r="F68" t="inlineStr">
        <is>
          <t>VÄSTMANLANDS LÄN</t>
        </is>
      </c>
      <c r="G68" t="inlineStr">
        <is>
          <t>SURAHAMMAR</t>
        </is>
      </c>
      <c r="H68" t="inlineStr">
        <is>
          <t>Bergvik skog väst AB</t>
        </is>
      </c>
      <c r="I68" t="n">
        <v>2.9</v>
      </c>
      <c r="J68" t="n">
        <v>2</v>
      </c>
      <c r="K68" t="n">
        <v>0</v>
      </c>
      <c r="L68" t="n">
        <v>0</v>
      </c>
      <c r="M68" t="n">
        <v>0</v>
      </c>
      <c r="N68" t="n">
        <v>0</v>
      </c>
      <c r="O68" t="n">
        <v>0</v>
      </c>
      <c r="P68" t="n">
        <v>0</v>
      </c>
      <c r="Q68" t="n">
        <v>0</v>
      </c>
      <c r="R68" t="n">
        <v>0</v>
      </c>
      <c r="S68" t="n">
        <v>2</v>
      </c>
      <c r="T68" t="n">
        <v>3</v>
      </c>
      <c r="U68" t="n">
        <v>0</v>
      </c>
      <c r="V68" s="2" t="inlineStr">
        <is>
          <t>Dubbelnycklar
Fläcknycklar</t>
        </is>
      </c>
      <c r="W68">
        <f>HYPERLINK("https://klasma.github.io/Logging_1907/artfynd/A 13971-2023 artfynd.xlsx", "A 13971-2023")</f>
        <v/>
      </c>
      <c r="X68">
        <f>HYPERLINK("https://klasma.github.io/Logging_1907/kartor/A 13971-2023 karta.png", "A 13971-2023")</f>
        <v/>
      </c>
      <c r="Y68">
        <f>HYPERLINK("https://klasma.github.io/Logging_1907/kartor_geotiff/A 13971-2023 georefererad karta.tif", "A 13971-2023")</f>
        <v/>
      </c>
      <c r="AA68">
        <f>HYPERLINK("https://klasma.github.io/Logging_1907/klagomål/A 13971-2023 FSC-klagomål.docx", "A 13971-2023")</f>
        <v/>
      </c>
      <c r="AB68">
        <f>HYPERLINK("https://klasma.github.io/Logging_1907/klagomålsmail/A 13971-2023 FSC-klagomål mail.docx", "A 13971-2023")</f>
        <v/>
      </c>
      <c r="AC68">
        <f>HYPERLINK("https://klasma.github.io/Logging_1907/tillsyn/A 13971-2023 tillsynsbegäran.docx", "A 13971-2023")</f>
        <v/>
      </c>
      <c r="AD68">
        <f>HYPERLINK("https://klasma.github.io/Logging_1907/tillsynsmail/A 13971-2023 tillsynsbegäran mail.docx", "A 13971-2023")</f>
        <v/>
      </c>
    </row>
    <row r="69" ht="15" customHeight="1">
      <c r="A69" t="inlineStr">
        <is>
          <t>S 703-2025</t>
        </is>
      </c>
      <c r="B69" t="inlineStr">
        <is>
          <t>samrådsanmälan</t>
        </is>
      </c>
      <c r="C69" t="inlineStr">
        <is>
          <t>Skogsgödsling</t>
        </is>
      </c>
      <c r="D69" s="1" t="n">
        <v>45720</v>
      </c>
      <c r="E69" s="1" t="n">
        <v>46320</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46320</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46320</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46320</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46320</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39099-2022</t>
        </is>
      </c>
      <c r="B74" t="inlineStr">
        <is>
          <t>avverkningsanmälan</t>
        </is>
      </c>
      <c r="C74" t="inlineStr">
        <is>
          <t>Föryngringsavverkning</t>
        </is>
      </c>
      <c r="D74" s="1" t="n">
        <v>44817</v>
      </c>
      <c r="E74" s="1" t="n">
        <v>46320</v>
      </c>
      <c r="F74" t="inlineStr">
        <is>
          <t>VÄSTMANLANDS LÄN</t>
        </is>
      </c>
      <c r="G74" t="inlineStr">
        <is>
          <t>SURAHAMMAR</t>
        </is>
      </c>
      <c r="H74" t="inlineStr">
        <is>
          <t>Bergvik skog väst AB</t>
        </is>
      </c>
      <c r="I74" t="n">
        <v>7.4</v>
      </c>
      <c r="J74" t="n">
        <v>0</v>
      </c>
      <c r="K74" t="n">
        <v>1</v>
      </c>
      <c r="L74" t="n">
        <v>0</v>
      </c>
      <c r="M74" t="n">
        <v>0</v>
      </c>
      <c r="N74" t="n">
        <v>0</v>
      </c>
      <c r="O74" t="n">
        <v>0</v>
      </c>
      <c r="P74" t="n">
        <v>0</v>
      </c>
      <c r="Q74" t="n">
        <v>0</v>
      </c>
      <c r="R74" t="n">
        <v>0</v>
      </c>
      <c r="S74" t="n">
        <v>1</v>
      </c>
      <c r="T74" t="n">
        <v>1</v>
      </c>
      <c r="U74" t="n">
        <v>1</v>
      </c>
      <c r="V74" s="2" t="inlineStr">
        <is>
          <t>Grönpyrola</t>
        </is>
      </c>
      <c r="W74">
        <f>HYPERLINK("https://klasma.github.io/Logging_1907/artfynd/A 39099-2022 artfynd.xlsx", "A 39099-2022")</f>
        <v/>
      </c>
      <c r="X74">
        <f>HYPERLINK("https://klasma.github.io/Logging_1907/kartor/A 39099-2022 karta.png", "A 39099-2022")</f>
        <v/>
      </c>
      <c r="Y74">
        <f>HYPERLINK("https://klasma.github.io/Logging_1907/kartor_geotiff/A 39099-2022 georefererad karta.tif", "A 39099-2022")</f>
        <v/>
      </c>
      <c r="AA74">
        <f>HYPERLINK("https://klasma.github.io/Logging_1907/klagomål/A 39099-2022 FSC-klagomål.docx", "A 39099-2022")</f>
        <v/>
      </c>
      <c r="AB74">
        <f>HYPERLINK("https://klasma.github.io/Logging_1907/klagomålsmail/A 39099-2022 FSC-klagomål mail.docx", "A 39099-2022")</f>
        <v/>
      </c>
      <c r="AC74">
        <f>HYPERLINK("https://klasma.github.io/Logging_1907/tillsyn/A 39099-2022 tillsynsbegäran.docx", "A 39099-2022")</f>
        <v/>
      </c>
      <c r="AD74">
        <f>HYPERLINK("https://klasma.github.io/Logging_1907/tillsynsmail/A 39099-2022 tillsynsbegäran mail.docx", "A 39099-2022")</f>
        <v/>
      </c>
    </row>
    <row r="75" ht="15" customHeight="1">
      <c r="A75" t="inlineStr">
        <is>
          <t>A 31589-2026</t>
        </is>
      </c>
      <c r="B75" t="inlineStr">
        <is>
          <t>avverkningsanmälan</t>
        </is>
      </c>
      <c r="C75" t="inlineStr">
        <is>
          <t>Föryngringsavverkning</t>
        </is>
      </c>
      <c r="D75" s="1" t="n">
        <v>46224</v>
      </c>
      <c r="E75" s="1" t="n">
        <v>46320</v>
      </c>
      <c r="F75" t="inlineStr">
        <is>
          <t>VÄSTMANLANDS LÄN</t>
        </is>
      </c>
      <c r="G75" t="inlineStr">
        <is>
          <t>SURAHAMMAR</t>
        </is>
      </c>
      <c r="H75" t="inlineStr">
        <is>
          <t>Allmännings- och besparingsskogar</t>
        </is>
      </c>
      <c r="I75" t="n">
        <v>7</v>
      </c>
      <c r="J75" t="n">
        <v>0</v>
      </c>
      <c r="K75" t="n">
        <v>1</v>
      </c>
      <c r="L75" t="n">
        <v>0</v>
      </c>
      <c r="M75" t="n">
        <v>0</v>
      </c>
      <c r="N75" t="n">
        <v>0</v>
      </c>
      <c r="O75" t="n">
        <v>0</v>
      </c>
      <c r="P75" t="n">
        <v>0</v>
      </c>
      <c r="Q75" t="n">
        <v>0</v>
      </c>
      <c r="R75" t="n">
        <v>0</v>
      </c>
      <c r="S75" t="n">
        <v>1</v>
      </c>
      <c r="T75" t="n">
        <v>1</v>
      </c>
      <c r="U75" t="n">
        <v>0</v>
      </c>
      <c r="V75" s="2" t="inlineStr">
        <is>
          <t>Blomkålssvamp</t>
        </is>
      </c>
      <c r="W75">
        <f>HYPERLINK("https://klasma.github.io/Logging_1907/artfynd/A 31589-2026 artfynd.xlsx", "A 31589-2026")</f>
        <v/>
      </c>
      <c r="X75">
        <f>HYPERLINK("https://klasma.github.io/Logging_1907/kartor/A 31589-2026 karta.png", "A 31589-2026")</f>
        <v/>
      </c>
      <c r="Y75">
        <f>HYPERLINK("https://klasma.github.io/Logging_1907/kartor_geotiff/A 31589-2026 georefererad karta.tif", "A 31589-2026")</f>
        <v/>
      </c>
      <c r="AA75">
        <f>HYPERLINK("https://klasma.github.io/Logging_1907/klagomål/A 31589-2026 FSC-klagomål.docx", "A 31589-2026")</f>
        <v/>
      </c>
      <c r="AB75">
        <f>HYPERLINK("https://klasma.github.io/Logging_1907/klagomålsmail/A 31589-2026 FSC-klagomål mail.docx", "A 31589-2026")</f>
        <v/>
      </c>
      <c r="AC75">
        <f>HYPERLINK("https://klasma.github.io/Logging_1907/tillsyn/A 31589-2026 tillsynsbegäran.docx", "A 31589-2026")</f>
        <v/>
      </c>
      <c r="AD75">
        <f>HYPERLINK("https://klasma.github.io/Logging_1907/tillsynsmail/A 31589-2026 tillsynsbegäran mail.docx", "A 31589-2026")</f>
        <v/>
      </c>
    </row>
    <row r="76" ht="15" customHeight="1">
      <c r="A76" t="inlineStr">
        <is>
          <t>A 34584-2025</t>
        </is>
      </c>
      <c r="B76" t="inlineStr">
        <is>
          <t>avverkningsanmälan</t>
        </is>
      </c>
      <c r="C76" t="inlineStr">
        <is>
          <t>Föryngringsavverkning</t>
        </is>
      </c>
      <c r="D76" s="1" t="n">
        <v>45846</v>
      </c>
      <c r="E76" s="1" t="n">
        <v>46320</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8553-2023</t>
        </is>
      </c>
      <c r="B77" t="inlineStr">
        <is>
          <t>avverkningsanmälan</t>
        </is>
      </c>
      <c r="C77" t="inlineStr">
        <is>
          <t>Avverkning för att bevara och utveckla /försöksver</t>
        </is>
      </c>
      <c r="D77" s="1" t="n">
        <v>44977</v>
      </c>
      <c r="E77" s="1" t="n">
        <v>46320</v>
      </c>
      <c r="F77" t="inlineStr">
        <is>
          <t>VÄSTMANLANDS LÄN</t>
        </is>
      </c>
      <c r="G77" t="inlineStr">
        <is>
          <t>SURAHAMMAR</t>
        </is>
      </c>
      <c r="H77" t="inlineStr">
        <is>
          <t>Sveaskog</t>
        </is>
      </c>
      <c r="I77" t="n">
        <v>1.5</v>
      </c>
      <c r="J77" t="n">
        <v>1</v>
      </c>
      <c r="K77" t="n">
        <v>0</v>
      </c>
      <c r="L77" t="n">
        <v>0</v>
      </c>
      <c r="M77" t="n">
        <v>1</v>
      </c>
      <c r="N77" t="n">
        <v>0</v>
      </c>
      <c r="O77" t="n">
        <v>0</v>
      </c>
      <c r="P77" t="n">
        <v>0</v>
      </c>
      <c r="Q77" t="n">
        <v>1</v>
      </c>
      <c r="R77" t="n">
        <v>1</v>
      </c>
      <c r="S77" t="n">
        <v>1</v>
      </c>
      <c r="T77" t="n">
        <v>1</v>
      </c>
      <c r="U77" t="n">
        <v>0</v>
      </c>
      <c r="V77" s="2" t="inlineStr">
        <is>
          <t>Väddnätfjäril</t>
        </is>
      </c>
      <c r="W77">
        <f>HYPERLINK("https://klasma.github.io/Logging_1907/artfynd/A 8553-2023 artfynd.xlsx", "A 8553-2023")</f>
        <v/>
      </c>
      <c r="X77">
        <f>HYPERLINK("https://klasma.github.io/Logging_1907/kartor/A 8553-2023 karta.png", "A 8553-2023")</f>
        <v/>
      </c>
      <c r="Y77">
        <f>HYPERLINK("https://klasma.github.io/Logging_1907/kartor_geotiff/A 8553-2023 georefererad karta.tif", "A 8553-2023")</f>
        <v/>
      </c>
      <c r="AA77">
        <f>HYPERLINK("https://klasma.github.io/Logging_1907/klagomål/A 8553-2023 FSC-klagomål.docx", "A 8553-2023")</f>
        <v/>
      </c>
      <c r="AB77">
        <f>HYPERLINK("https://klasma.github.io/Logging_1907/klagomålsmail/A 8553-2023 FSC-klagomål mail.docx", "A 8553-2023")</f>
        <v/>
      </c>
      <c r="AC77">
        <f>HYPERLINK("https://klasma.github.io/Logging_1907/tillsyn/A 8553-2023 tillsynsbegäran.docx", "A 8553-2023")</f>
        <v/>
      </c>
      <c r="AD77">
        <f>HYPERLINK("https://klasma.github.io/Logging_1907/tillsynsmail/A 8553-2023 tillsynsbegäran mail.docx", "A 8553-2023")</f>
        <v/>
      </c>
    </row>
    <row r="78" ht="15" customHeight="1">
      <c r="A78" t="inlineStr">
        <is>
          <t>A 16013-2023</t>
        </is>
      </c>
      <c r="B78" t="inlineStr">
        <is>
          <t>avverkningsanmälan</t>
        </is>
      </c>
      <c r="C78" t="inlineStr">
        <is>
          <t>Föryngringsavverkning</t>
        </is>
      </c>
      <c r="D78" s="1" t="n">
        <v>45026</v>
      </c>
      <c r="E78" s="1" t="n">
        <v>46320</v>
      </c>
      <c r="F78" t="inlineStr">
        <is>
          <t>VÄSTMANLANDS LÄN</t>
        </is>
      </c>
      <c r="G78" t="inlineStr">
        <is>
          <t>SURAHAMMAR</t>
        </is>
      </c>
      <c r="I78" t="n">
        <v>3.9</v>
      </c>
      <c r="J78" t="n">
        <v>0</v>
      </c>
      <c r="K78" t="n">
        <v>0</v>
      </c>
      <c r="L78" t="n">
        <v>0</v>
      </c>
      <c r="M78" t="n">
        <v>1</v>
      </c>
      <c r="N78" t="n">
        <v>0</v>
      </c>
      <c r="O78" t="n">
        <v>0</v>
      </c>
      <c r="P78" t="n">
        <v>0</v>
      </c>
      <c r="Q78" t="n">
        <v>1</v>
      </c>
      <c r="R78" t="n">
        <v>1</v>
      </c>
      <c r="S78" t="n">
        <v>1</v>
      </c>
      <c r="T78" t="n">
        <v>1</v>
      </c>
      <c r="U78" t="n">
        <v>0</v>
      </c>
      <c r="V78" s="2" t="inlineStr">
        <is>
          <t>Garnlav</t>
        </is>
      </c>
      <c r="W78">
        <f>HYPERLINK("https://klasma.github.io/Logging_1907/artfynd/A 16013-2023 artfynd.xlsx", "A 16013-2023")</f>
        <v/>
      </c>
      <c r="X78">
        <f>HYPERLINK("https://klasma.github.io/Logging_1907/kartor/A 16013-2023 karta.png", "A 16013-2023")</f>
        <v/>
      </c>
      <c r="Y78">
        <f>HYPERLINK("https://klasma.github.io/Logging_1907/kartor_geotiff/A 16013-2023 georefererad karta.tif", "A 16013-2023")</f>
        <v/>
      </c>
      <c r="AA78">
        <f>HYPERLINK("https://klasma.github.io/Logging_1907/klagomål/A 16013-2023 FSC-klagomål.docx", "A 16013-2023")</f>
        <v/>
      </c>
      <c r="AB78">
        <f>HYPERLINK("https://klasma.github.io/Logging_1907/klagomålsmail/A 16013-2023 FSC-klagomål mail.docx", "A 16013-2023")</f>
        <v/>
      </c>
      <c r="AC78">
        <f>HYPERLINK("https://klasma.github.io/Logging_1907/tillsyn/A 16013-2023 tillsynsbegäran.docx", "A 16013-2023")</f>
        <v/>
      </c>
      <c r="AD78">
        <f>HYPERLINK("https://klasma.github.io/Logging_1907/tillsynsmail/A 16013-2023 tillsynsbegäran mail.docx", "A 16013-2023")</f>
        <v/>
      </c>
    </row>
    <row r="79" ht="15" customHeight="1">
      <c r="A79" t="inlineStr">
        <is>
          <t>A 34955-2022</t>
        </is>
      </c>
      <c r="B79" t="inlineStr">
        <is>
          <t>avverkningsanmälan</t>
        </is>
      </c>
      <c r="C79" t="inlineStr">
        <is>
          <t>Föryngringsavverkning</t>
        </is>
      </c>
      <c r="D79" s="1" t="n">
        <v>44796</v>
      </c>
      <c r="E79" s="1" t="n">
        <v>46320</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33231-2024</t>
        </is>
      </c>
      <c r="B80" t="inlineStr">
        <is>
          <t>avverkningsanmälan</t>
        </is>
      </c>
      <c r="C80" t="inlineStr">
        <is>
          <t>Föryngringsavverkning</t>
        </is>
      </c>
      <c r="D80" s="1" t="n">
        <v>45518</v>
      </c>
      <c r="E80" s="1" t="n">
        <v>46320</v>
      </c>
      <c r="F80" t="inlineStr">
        <is>
          <t>VÄSTMANLANDS LÄN</t>
        </is>
      </c>
      <c r="G80" t="inlineStr">
        <is>
          <t>SURAHAMMAR</t>
        </is>
      </c>
      <c r="H80" t="inlineStr">
        <is>
          <t>Bergvik skog väst AB</t>
        </is>
      </c>
      <c r="I80" t="n">
        <v>1.5</v>
      </c>
      <c r="J80" t="n">
        <v>1</v>
      </c>
      <c r="K80" t="n">
        <v>0</v>
      </c>
      <c r="L80" t="n">
        <v>0</v>
      </c>
      <c r="M80" t="n">
        <v>0</v>
      </c>
      <c r="N80" t="n">
        <v>0</v>
      </c>
      <c r="O80" t="n">
        <v>0</v>
      </c>
      <c r="P80" t="n">
        <v>0</v>
      </c>
      <c r="Q80" t="n">
        <v>0</v>
      </c>
      <c r="R80" t="n">
        <v>0</v>
      </c>
      <c r="S80" t="n">
        <v>1</v>
      </c>
      <c r="T80" t="n">
        <v>1</v>
      </c>
      <c r="U80" t="n">
        <v>1</v>
      </c>
      <c r="V80" s="2" t="inlineStr">
        <is>
          <t>Mindre vattensalamander</t>
        </is>
      </c>
      <c r="W80">
        <f>HYPERLINK("https://klasma.github.io/Logging_1907/artfynd/A 33231-2024 artfynd.xlsx", "A 33231-2024")</f>
        <v/>
      </c>
      <c r="X80">
        <f>HYPERLINK("https://klasma.github.io/Logging_1907/kartor/A 33231-2024 karta.png", "A 33231-2024")</f>
        <v/>
      </c>
      <c r="Y80">
        <f>HYPERLINK("https://klasma.github.io/Logging_1907/kartor_geotiff/A 33231-2024 georefererad karta.tif", "A 33231-2024")</f>
        <v/>
      </c>
      <c r="AA80">
        <f>HYPERLINK("https://klasma.github.io/Logging_1907/klagomål/A 33231-2024 FSC-klagomål.docx", "A 33231-2024")</f>
        <v/>
      </c>
      <c r="AB80">
        <f>HYPERLINK("https://klasma.github.io/Logging_1907/klagomålsmail/A 33231-2024 FSC-klagomål mail.docx", "A 33231-2024")</f>
        <v/>
      </c>
      <c r="AC80">
        <f>HYPERLINK("https://klasma.github.io/Logging_1907/tillsyn/A 33231-2024 tillsynsbegäran.docx", "A 33231-2024")</f>
        <v/>
      </c>
      <c r="AD80">
        <f>HYPERLINK("https://klasma.github.io/Logging_1907/tillsynsmail/A 33231-2024 tillsynsbegäran mail.docx", "A 33231-2024")</f>
        <v/>
      </c>
    </row>
    <row r="81" ht="15" customHeight="1">
      <c r="A81" t="inlineStr">
        <is>
          <t>A 30076-2023</t>
        </is>
      </c>
      <c r="B81" t="inlineStr">
        <is>
          <t>avverkningsanmälan</t>
        </is>
      </c>
      <c r="C81" t="inlineStr">
        <is>
          <t>Föryngringsavverkning</t>
        </is>
      </c>
      <c r="D81" s="1" t="n">
        <v>45110</v>
      </c>
      <c r="E81" s="1" t="n">
        <v>46320</v>
      </c>
      <c r="F81" t="inlineStr">
        <is>
          <t>VÄSTMANLANDS LÄN</t>
        </is>
      </c>
      <c r="G81" t="inlineStr">
        <is>
          <t>SURAHAMMAR</t>
        </is>
      </c>
      <c r="H81" t="inlineStr">
        <is>
          <t>Sveaskog</t>
        </is>
      </c>
      <c r="I81" t="n">
        <v>1.1</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HYPERLINK("https://klasma.github.io/Logging_1907/artfynd/A 30076-2023 artfynd.xlsx", "A 30076-2023")</f>
        <v/>
      </c>
      <c r="X81">
        <f>HYPERLINK("https://klasma.github.io/Logging_1907/kartor/A 30076-2023 karta.png", "A 30076-2023")</f>
        <v/>
      </c>
      <c r="Y81">
        <f>HYPERLINK("https://klasma.github.io/Logging_1907/kartor_geotiff/A 30076-2023 georefererad karta.tif", "A 30076-2023")</f>
        <v/>
      </c>
      <c r="AA81">
        <f>HYPERLINK("https://klasma.github.io/Logging_1907/klagomål/A 30076-2023 FSC-klagomål.docx", "A 30076-2023")</f>
        <v/>
      </c>
      <c r="AB81">
        <f>HYPERLINK("https://klasma.github.io/Logging_1907/klagomålsmail/A 30076-2023 FSC-klagomål mail.docx", "A 30076-2023")</f>
        <v/>
      </c>
      <c r="AC81">
        <f>HYPERLINK("https://klasma.github.io/Logging_1907/tillsyn/A 30076-2023 tillsynsbegäran.docx", "A 30076-2023")</f>
        <v/>
      </c>
      <c r="AD81">
        <f>HYPERLINK("https://klasma.github.io/Logging_1907/tillsynsmail/A 30076-2023 tillsynsbegäran mail.docx", "A 30076-2023")</f>
        <v/>
      </c>
    </row>
    <row r="82" ht="15" customHeight="1">
      <c r="A82" t="inlineStr">
        <is>
          <t>A 10883-2023</t>
        </is>
      </c>
      <c r="B82" t="inlineStr">
        <is>
          <t>avverkningsanmälan</t>
        </is>
      </c>
      <c r="C82" t="inlineStr">
        <is>
          <t>Föryngringsavverkning</t>
        </is>
      </c>
      <c r="D82" s="1" t="n">
        <v>44991</v>
      </c>
      <c r="E82" s="1" t="n">
        <v>46320</v>
      </c>
      <c r="F82" t="inlineStr">
        <is>
          <t>VÄSTMANLANDS LÄN</t>
        </is>
      </c>
      <c r="G82" t="inlineStr">
        <is>
          <t>SURAHAMMAR</t>
        </is>
      </c>
      <c r="H82" t="inlineStr">
        <is>
          <t>Övriga Aktiebolag</t>
        </is>
      </c>
      <c r="I82" t="n">
        <v>12.5</v>
      </c>
      <c r="J82" t="n">
        <v>1</v>
      </c>
      <c r="K82" t="n">
        <v>0</v>
      </c>
      <c r="L82" t="n">
        <v>1</v>
      </c>
      <c r="M82" t="n">
        <v>0</v>
      </c>
      <c r="N82" t="n">
        <v>0</v>
      </c>
      <c r="O82" t="n">
        <v>0</v>
      </c>
      <c r="P82" t="n">
        <v>0</v>
      </c>
      <c r="Q82" t="n">
        <v>1</v>
      </c>
      <c r="R82" t="n">
        <v>0</v>
      </c>
      <c r="S82" t="n">
        <v>1</v>
      </c>
      <c r="T82" t="n">
        <v>1</v>
      </c>
      <c r="U82" t="n">
        <v>1</v>
      </c>
      <c r="V82" s="2" t="inlineStr">
        <is>
          <t>Talltita</t>
        </is>
      </c>
      <c r="W82">
        <f>HYPERLINK("https://klasma.github.io/Logging_1907/artfynd/A 10883-2023 artfynd.xlsx", "A 10883-2023")</f>
        <v/>
      </c>
      <c r="X82">
        <f>HYPERLINK("https://klasma.github.io/Logging_1907/kartor/A 10883-2023 karta.png", "A 10883-2023")</f>
        <v/>
      </c>
      <c r="Y82">
        <f>HYPERLINK("https://klasma.github.io/Logging_1907/kartor_geotiff/A 10883-2023 georefererad karta.tif", "A 10883-2023")</f>
        <v/>
      </c>
      <c r="AA82">
        <f>HYPERLINK("https://klasma.github.io/Logging_1907/klagomål/A 10883-2023 FSC-klagomål.docx", "A 10883-2023")</f>
        <v/>
      </c>
      <c r="AB82">
        <f>HYPERLINK("https://klasma.github.io/Logging_1907/klagomålsmail/A 10883-2023 FSC-klagomål mail.docx", "A 10883-2023")</f>
        <v/>
      </c>
      <c r="AC82">
        <f>HYPERLINK("https://klasma.github.io/Logging_1907/tillsyn/A 10883-2023 tillsynsbegäran.docx", "A 10883-2023")</f>
        <v/>
      </c>
      <c r="AD82">
        <f>HYPERLINK("https://klasma.github.io/Logging_1907/tillsynsmail/A 10883-2023 tillsynsbegäran mail.docx", "A 10883-2023")</f>
        <v/>
      </c>
      <c r="AE82">
        <f>HYPERLINK("https://klasma.github.io/Logging_1907/fåglar/A 10883-2023 prioriterade fågelarter.docx", "A 10883-2023")</f>
        <v/>
      </c>
    </row>
    <row r="83" ht="15" customHeight="1">
      <c r="A83" t="inlineStr">
        <is>
          <t>A 24167-2024</t>
        </is>
      </c>
      <c r="B83" t="inlineStr">
        <is>
          <t>avverkningsanmälan</t>
        </is>
      </c>
      <c r="C83" t="inlineStr">
        <is>
          <t>Avverkning för annat ändamål</t>
        </is>
      </c>
      <c r="D83" s="1" t="n">
        <v>45456</v>
      </c>
      <c r="E83" s="1" t="n">
        <v>46320</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37287-2023</t>
        </is>
      </c>
      <c r="B84" t="inlineStr">
        <is>
          <t>avverkningsanmälan</t>
        </is>
      </c>
      <c r="C84" t="inlineStr">
        <is>
          <t>Föryngringsavverkning</t>
        </is>
      </c>
      <c r="D84" s="1" t="n">
        <v>45156</v>
      </c>
      <c r="E84" s="1" t="n">
        <v>46320</v>
      </c>
      <c r="F84" t="inlineStr">
        <is>
          <t>VÄSTMANLANDS LÄN</t>
        </is>
      </c>
      <c r="G84" t="inlineStr">
        <is>
          <t>SURAHAMMAR</t>
        </is>
      </c>
      <c r="I84" t="n">
        <v>0.6</v>
      </c>
      <c r="J84" t="n">
        <v>0</v>
      </c>
      <c r="K84" t="n">
        <v>0</v>
      </c>
      <c r="L84" t="n">
        <v>1</v>
      </c>
      <c r="M84" t="n">
        <v>0</v>
      </c>
      <c r="N84" t="n">
        <v>0</v>
      </c>
      <c r="O84" t="n">
        <v>0</v>
      </c>
      <c r="P84" t="n">
        <v>0</v>
      </c>
      <c r="Q84" t="n">
        <v>1</v>
      </c>
      <c r="R84" t="n">
        <v>0</v>
      </c>
      <c r="S84" t="n">
        <v>1</v>
      </c>
      <c r="T84" t="n">
        <v>1</v>
      </c>
      <c r="U84" t="n">
        <v>0</v>
      </c>
      <c r="V84" s="2" t="inlineStr">
        <is>
          <t>Mindre tåtelsmygare</t>
        </is>
      </c>
      <c r="W84">
        <f>HYPERLINK("https://klasma.github.io/Logging_1907/artfynd/A 37287-2023 artfynd.xlsx", "A 37287-2023")</f>
        <v/>
      </c>
      <c r="X84">
        <f>HYPERLINK("https://klasma.github.io/Logging_1907/kartor/A 37287-2023 karta.png", "A 37287-2023")</f>
        <v/>
      </c>
      <c r="Y84">
        <f>HYPERLINK("https://klasma.github.io/Logging_1907/kartor_geotiff/A 37287-2023 georefererad karta.tif", "A 37287-2023")</f>
        <v/>
      </c>
      <c r="AA84">
        <f>HYPERLINK("https://klasma.github.io/Logging_1907/klagomål/A 37287-2023 FSC-klagomål.docx", "A 37287-2023")</f>
        <v/>
      </c>
      <c r="AB84">
        <f>HYPERLINK("https://klasma.github.io/Logging_1907/klagomålsmail/A 37287-2023 FSC-klagomål mail.docx", "A 37287-2023")</f>
        <v/>
      </c>
      <c r="AC84">
        <f>HYPERLINK("https://klasma.github.io/Logging_1907/tillsyn/A 37287-2023 tillsynsbegäran.docx", "A 37287-2023")</f>
        <v/>
      </c>
      <c r="AD84">
        <f>HYPERLINK("https://klasma.github.io/Logging_1907/tillsynsmail/A 37287-2023 tillsynsbegäran mail.docx", "A 37287-2023")</f>
        <v/>
      </c>
    </row>
    <row r="85" ht="15" customHeight="1">
      <c r="A85" t="inlineStr">
        <is>
          <t>A 44356-2024</t>
        </is>
      </c>
      <c r="B85" t="inlineStr">
        <is>
          <t>avverkningsanmälan</t>
        </is>
      </c>
      <c r="C85" t="inlineStr">
        <is>
          <t>Föryngringsavverkning</t>
        </is>
      </c>
      <c r="D85" s="1" t="n">
        <v>45573</v>
      </c>
      <c r="E85" s="1" t="n">
        <v>46320</v>
      </c>
      <c r="F85" t="inlineStr">
        <is>
          <t>VÄSTMANLANDS LÄN</t>
        </is>
      </c>
      <c r="G85" t="inlineStr">
        <is>
          <t>SURAHAMMAR</t>
        </is>
      </c>
      <c r="H85" t="inlineStr">
        <is>
          <t>Sveaskog</t>
        </is>
      </c>
      <c r="I85" t="n">
        <v>0.7</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HYPERLINK("https://klasma.github.io/Logging_1907/artfynd/A 44356-2024 artfynd.xlsx", "A 44356-2024")</f>
        <v/>
      </c>
      <c r="X85">
        <f>HYPERLINK("https://klasma.github.io/Logging_1907/kartor/A 44356-2024 karta.png", "A 44356-2024")</f>
        <v/>
      </c>
      <c r="Y85">
        <f>HYPERLINK("https://klasma.github.io/Logging_1907/kartor_geotiff/A 44356-2024 georefererad karta.tif", "A 44356-2024")</f>
        <v/>
      </c>
      <c r="AA85">
        <f>HYPERLINK("https://klasma.github.io/Logging_1907/klagomål/A 44356-2024 FSC-klagomål.docx", "A 44356-2024")</f>
        <v/>
      </c>
      <c r="AB85">
        <f>HYPERLINK("https://klasma.github.io/Logging_1907/klagomålsmail/A 44356-2024 FSC-klagomål mail.docx", "A 44356-2024")</f>
        <v/>
      </c>
      <c r="AC85">
        <f>HYPERLINK("https://klasma.github.io/Logging_1907/tillsyn/A 44356-2024 tillsynsbegäran.docx", "A 44356-2024")</f>
        <v/>
      </c>
      <c r="AD85">
        <f>HYPERLINK("https://klasma.github.io/Logging_1907/tillsynsmail/A 44356-2024 tillsynsbegäran mail.docx", "A 44356-2024")</f>
        <v/>
      </c>
    </row>
    <row r="86" ht="15" customHeight="1">
      <c r="A86" t="inlineStr">
        <is>
          <t>A 17632-2022</t>
        </is>
      </c>
      <c r="B86" t="inlineStr">
        <is>
          <t>avverkningsanmälan</t>
        </is>
      </c>
      <c r="C86" t="inlineStr">
        <is>
          <t>Föryngringsavverkning</t>
        </is>
      </c>
      <c r="D86" s="1" t="n">
        <v>44680</v>
      </c>
      <c r="E86" s="1" t="n">
        <v>46320</v>
      </c>
      <c r="F86" t="inlineStr">
        <is>
          <t>VÄSTMANLANDS LÄN</t>
        </is>
      </c>
      <c r="G86" t="inlineStr">
        <is>
          <t>SURAHAMMAR</t>
        </is>
      </c>
      <c r="I86" t="n">
        <v>5.2</v>
      </c>
      <c r="J86" t="n">
        <v>0</v>
      </c>
      <c r="K86" t="n">
        <v>1</v>
      </c>
      <c r="L86" t="n">
        <v>0</v>
      </c>
      <c r="M86" t="n">
        <v>0</v>
      </c>
      <c r="N86" t="n">
        <v>0</v>
      </c>
      <c r="O86" t="n">
        <v>0</v>
      </c>
      <c r="P86" t="n">
        <v>0</v>
      </c>
      <c r="Q86" t="n">
        <v>0</v>
      </c>
      <c r="R86" t="n">
        <v>0</v>
      </c>
      <c r="S86" t="n">
        <v>1</v>
      </c>
      <c r="T86" t="n">
        <v>1</v>
      </c>
      <c r="U86" t="n">
        <v>0</v>
      </c>
      <c r="V86" s="2" t="inlineStr">
        <is>
          <t>Blodticka</t>
        </is>
      </c>
      <c r="W86">
        <f>HYPERLINK("https://klasma.github.io/Logging_1907/artfynd/A 17632-2022 artfynd.xlsx", "A 17632-2022")</f>
        <v/>
      </c>
      <c r="X86">
        <f>HYPERLINK("https://klasma.github.io/Logging_1907/kartor/A 17632-2022 karta.png", "A 17632-2022")</f>
        <v/>
      </c>
      <c r="Y86">
        <f>HYPERLINK("https://klasma.github.io/Logging_1907/kartor_geotiff/A 17632-2022 georefererad karta.tif", "A 17632-2022")</f>
        <v/>
      </c>
      <c r="AA86">
        <f>HYPERLINK("https://klasma.github.io/Logging_1907/klagomål/A 17632-2022 FSC-klagomål.docx", "A 17632-2022")</f>
        <v/>
      </c>
      <c r="AB86">
        <f>HYPERLINK("https://klasma.github.io/Logging_1907/klagomålsmail/A 17632-2022 FSC-klagomål mail.docx", "A 17632-2022")</f>
        <v/>
      </c>
      <c r="AC86">
        <f>HYPERLINK("https://klasma.github.io/Logging_1907/tillsyn/A 17632-2022 tillsynsbegäran.docx", "A 17632-2022")</f>
        <v/>
      </c>
      <c r="AD86">
        <f>HYPERLINK("https://klasma.github.io/Logging_1907/tillsynsmail/A 17632-2022 tillsynsbegäran mail.docx", "A 17632-2022")</f>
        <v/>
      </c>
    </row>
    <row r="87" ht="15" customHeight="1">
      <c r="A87" t="inlineStr">
        <is>
          <t>A 64073-2021</t>
        </is>
      </c>
      <c r="B87" t="inlineStr">
        <is>
          <t>avverkningsanmälan</t>
        </is>
      </c>
      <c r="C87" t="inlineStr">
        <is>
          <t>Avverkning för annat ändamål</t>
        </is>
      </c>
      <c r="D87" s="1" t="n">
        <v>44509</v>
      </c>
      <c r="E87" s="1" t="n">
        <v>46320</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46320</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46320</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46320</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46320</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46320</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46320</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46320</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46320</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7848-2022</t>
        </is>
      </c>
      <c r="B96" t="inlineStr">
        <is>
          <t>avverkningsanmälan</t>
        </is>
      </c>
      <c r="C96" t="inlineStr">
        <is>
          <t>Föryngringsavverkning</t>
        </is>
      </c>
      <c r="D96" s="1" t="n">
        <v>44608</v>
      </c>
      <c r="E96" s="1" t="n">
        <v>46320</v>
      </c>
      <c r="F96" t="inlineStr">
        <is>
          <t>VÄSTMANLANDS LÄN</t>
        </is>
      </c>
      <c r="G96" t="inlineStr">
        <is>
          <t>SURAHAMMAR</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46320</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24201-2026</t>
        </is>
      </c>
      <c r="B98" t="inlineStr">
        <is>
          <t>avverkningsanmälan</t>
        </is>
      </c>
      <c r="C98" t="inlineStr">
        <is>
          <t>Föryngringsavverkning</t>
        </is>
      </c>
      <c r="D98" s="1" t="n">
        <v>46168</v>
      </c>
      <c r="E98" s="1" t="n">
        <v>46320</v>
      </c>
      <c r="F98" t="inlineStr">
        <is>
          <t>VÄSTMANLANDS LÄN</t>
        </is>
      </c>
      <c r="G98" t="inlineStr">
        <is>
          <t>SURAHAMMAR</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21509-2024</t>
        </is>
      </c>
      <c r="B99" t="inlineStr">
        <is>
          <t>avverkningsanmälan</t>
        </is>
      </c>
      <c r="C99" t="inlineStr">
        <is>
          <t>Föryngringsavverkning</t>
        </is>
      </c>
      <c r="D99" s="1" t="n">
        <v>45441</v>
      </c>
      <c r="E99" s="1" t="n">
        <v>46320</v>
      </c>
      <c r="F99" t="inlineStr">
        <is>
          <t>VÄSTMANLANDS LÄN</t>
        </is>
      </c>
      <c r="G99" t="inlineStr">
        <is>
          <t>SURAHAMMAR</t>
        </is>
      </c>
      <c r="H99" t="inlineStr">
        <is>
          <t>Bergvik skog väst AB</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42832-2022</t>
        </is>
      </c>
      <c r="B100" t="inlineStr">
        <is>
          <t>avverkningsanmälan</t>
        </is>
      </c>
      <c r="C100" t="inlineStr">
        <is>
          <t>Avverkning för annat ändamål</t>
        </is>
      </c>
      <c r="D100" s="1" t="n">
        <v>44832</v>
      </c>
      <c r="E100" s="1" t="n">
        <v>46320</v>
      </c>
      <c r="F100" t="inlineStr">
        <is>
          <t>VÄSTMANLANDS LÄN</t>
        </is>
      </c>
      <c r="G100" t="inlineStr">
        <is>
          <t>SURAHAMMAR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42841-2022</t>
        </is>
      </c>
      <c r="B101" t="inlineStr">
        <is>
          <t>avverkningsanmälan</t>
        </is>
      </c>
      <c r="C101" t="inlineStr">
        <is>
          <t>Avverkning för annat ändamål</t>
        </is>
      </c>
      <c r="D101" s="1" t="n">
        <v>44832</v>
      </c>
      <c r="E101" s="1" t="n">
        <v>46320</v>
      </c>
      <c r="F101" t="inlineStr">
        <is>
          <t>VÄSTMANLANDS LÄN</t>
        </is>
      </c>
      <c r="G101" t="inlineStr">
        <is>
          <t>SURAHAMMAR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24158-2023</t>
        </is>
      </c>
      <c r="B102" t="inlineStr">
        <is>
          <t>avverkningsanmälan</t>
        </is>
      </c>
      <c r="C102" t="inlineStr">
        <is>
          <t>Föryngringsavverkning</t>
        </is>
      </c>
      <c r="D102" s="1" t="n">
        <v>45079</v>
      </c>
      <c r="E102" s="1" t="n">
        <v>46320</v>
      </c>
      <c r="F102" t="inlineStr">
        <is>
          <t>VÄSTMANLANDS LÄN</t>
        </is>
      </c>
      <c r="G102" t="inlineStr">
        <is>
          <t>SURAHAMMAR</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15637-2022</t>
        </is>
      </c>
      <c r="B103" t="inlineStr">
        <is>
          <t>avverkningsanmälan</t>
        </is>
      </c>
      <c r="C103" t="inlineStr">
        <is>
          <t>Föryngringsavverkning</t>
        </is>
      </c>
      <c r="D103" s="1" t="n">
        <v>44662</v>
      </c>
      <c r="E103" s="1" t="n">
        <v>46320</v>
      </c>
      <c r="F103" t="inlineStr">
        <is>
          <t>VÄSTMANLANDS LÄN</t>
        </is>
      </c>
      <c r="G103" t="inlineStr">
        <is>
          <t>SURAHAMMAR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19786-2023</t>
        </is>
      </c>
      <c r="B104" t="inlineStr">
        <is>
          <t>avverkningsanmälan</t>
        </is>
      </c>
      <c r="C104" t="inlineStr">
        <is>
          <t>Föryngringsavverkning</t>
        </is>
      </c>
      <c r="D104" s="1" t="n">
        <v>45050</v>
      </c>
      <c r="E104" s="1" t="n">
        <v>46320</v>
      </c>
      <c r="F104" t="inlineStr">
        <is>
          <t>VÄSTMANLANDS LÄN</t>
        </is>
      </c>
      <c r="G104" t="inlineStr">
        <is>
          <t>SURAHAMMAR</t>
        </is>
      </c>
      <c r="H104" t="inlineStr">
        <is>
          <t>Bergvik skog väst AB</t>
        </is>
      </c>
      <c r="I104" t="n">
        <v>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22628-2026</t>
        </is>
      </c>
      <c r="B105" t="inlineStr">
        <is>
          <t>avverkningsanmälan</t>
        </is>
      </c>
      <c r="C105" t="inlineStr">
        <is>
          <t>Föryngringsavverkning</t>
        </is>
      </c>
      <c r="D105" s="1" t="n">
        <v>46155</v>
      </c>
      <c r="E105" s="1" t="n">
        <v>46320</v>
      </c>
      <c r="F105" t="inlineStr">
        <is>
          <t>VÄSTMANLANDS LÄN</t>
        </is>
      </c>
      <c r="G105" t="inlineStr">
        <is>
          <t>SURAHAMMAR</t>
        </is>
      </c>
      <c r="H105" t="inlineStr">
        <is>
          <t>Sveaskog</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55873-2025</t>
        </is>
      </c>
      <c r="B106" t="inlineStr">
        <is>
          <t>avverkningsanmälan</t>
        </is>
      </c>
      <c r="C106" t="inlineStr">
        <is>
          <t>Föryngringsavverkning</t>
        </is>
      </c>
      <c r="D106" s="1" t="n">
        <v>45973</v>
      </c>
      <c r="E106" s="1" t="n">
        <v>46320</v>
      </c>
      <c r="F106" t="inlineStr">
        <is>
          <t>VÄSTMANLANDS LÄN</t>
        </is>
      </c>
      <c r="G106" t="inlineStr">
        <is>
          <t>SURAHAMMAR</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7787-2024</t>
        </is>
      </c>
      <c r="B107" t="inlineStr">
        <is>
          <t>avverkningsanmälan</t>
        </is>
      </c>
      <c r="C107" t="inlineStr">
        <is>
          <t>Föryngringsavverkning</t>
        </is>
      </c>
      <c r="D107" s="1" t="n">
        <v>45348</v>
      </c>
      <c r="E107" s="1" t="n">
        <v>46320</v>
      </c>
      <c r="F107" t="inlineStr">
        <is>
          <t>VÄSTMANLANDS LÄN</t>
        </is>
      </c>
      <c r="G107" t="inlineStr">
        <is>
          <t>SURAHAMMAR</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31061-2026</t>
        </is>
      </c>
      <c r="B108" t="inlineStr">
        <is>
          <t>avverkningsanmälan</t>
        </is>
      </c>
      <c r="C108" t="inlineStr">
        <is>
          <t>Föryngringsavverkning</t>
        </is>
      </c>
      <c r="D108" s="1" t="n">
        <v>46215</v>
      </c>
      <c r="E108" s="1" t="n">
        <v>46320</v>
      </c>
      <c r="F108" t="inlineStr">
        <is>
          <t>VÄSTMANLANDS LÄN</t>
        </is>
      </c>
      <c r="G108" t="inlineStr">
        <is>
          <t>SURAHAMMAR</t>
        </is>
      </c>
      <c r="H108" t="inlineStr">
        <is>
          <t>Sveaskog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32223-2026</t>
        </is>
      </c>
      <c r="B109" t="inlineStr">
        <is>
          <t>avverkningsanmälan</t>
        </is>
      </c>
      <c r="C109" t="inlineStr">
        <is>
          <t>Föryngringsavverkning</t>
        </is>
      </c>
      <c r="D109" s="1" t="n">
        <v>46237</v>
      </c>
      <c r="E109" s="1" t="n">
        <v>46320</v>
      </c>
      <c r="F109" t="inlineStr">
        <is>
          <t>VÄSTMANLANDS LÄN</t>
        </is>
      </c>
      <c r="G109" t="inlineStr">
        <is>
          <t>SURAHAMMAR</t>
        </is>
      </c>
      <c r="H109" t="inlineStr">
        <is>
          <t>Allmännings- och besparingsskogar</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32501-2026</t>
        </is>
      </c>
      <c r="B110" t="inlineStr">
        <is>
          <t>avverkningsanmälan</t>
        </is>
      </c>
      <c r="C110" t="inlineStr">
        <is>
          <t>Avverkning för annat ändamål</t>
        </is>
      </c>
      <c r="D110" s="1" t="n">
        <v>46239</v>
      </c>
      <c r="E110" s="1" t="n">
        <v>46320</v>
      </c>
      <c r="F110" t="inlineStr">
        <is>
          <t>VÄSTMANLANDS LÄN</t>
        </is>
      </c>
      <c r="G110" t="inlineStr">
        <is>
          <t>SURAHAMMAR</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15739-2023</t>
        </is>
      </c>
      <c r="B111" t="inlineStr">
        <is>
          <t>avverkningsanmälan</t>
        </is>
      </c>
      <c r="C111" t="inlineStr">
        <is>
          <t>Föryngringsavverkning</t>
        </is>
      </c>
      <c r="D111" s="1" t="n">
        <v>45021</v>
      </c>
      <c r="E111" s="1" t="n">
        <v>46320</v>
      </c>
      <c r="F111" t="inlineStr">
        <is>
          <t>VÄSTMANLANDS LÄN</t>
        </is>
      </c>
      <c r="G111" t="inlineStr">
        <is>
          <t>SURAHAMMAR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4724-2026</t>
        </is>
      </c>
      <c r="B112" t="inlineStr">
        <is>
          <t>avverkningsanmälan</t>
        </is>
      </c>
      <c r="C112" t="inlineStr">
        <is>
          <t>Föryngringsavverkning</t>
        </is>
      </c>
      <c r="D112" s="1" t="n">
        <v>46048</v>
      </c>
      <c r="E112" s="1" t="n">
        <v>46320</v>
      </c>
      <c r="F112" t="inlineStr">
        <is>
          <t>VÄSTMANLANDS LÄN</t>
        </is>
      </c>
      <c r="G112" t="inlineStr">
        <is>
          <t>SURAHAMMAR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4734-2026</t>
        </is>
      </c>
      <c r="B113" t="inlineStr">
        <is>
          <t>avverkningsanmälan</t>
        </is>
      </c>
      <c r="C113" t="inlineStr">
        <is>
          <t>Föryngringsavverkning</t>
        </is>
      </c>
      <c r="D113" s="1" t="n">
        <v>46048</v>
      </c>
      <c r="E113" s="1" t="n">
        <v>46320</v>
      </c>
      <c r="F113" t="inlineStr">
        <is>
          <t>VÄSTMANLANDS LÄN</t>
        </is>
      </c>
      <c r="G113" t="inlineStr">
        <is>
          <t>SURAHAMMAR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33933-2026</t>
        </is>
      </c>
      <c r="B114" t="inlineStr">
        <is>
          <t>avverkningsanmälan</t>
        </is>
      </c>
      <c r="C114" t="inlineStr">
        <is>
          <t>Föryngringsavverkning</t>
        </is>
      </c>
      <c r="D114" s="1" t="n">
        <v>46248</v>
      </c>
      <c r="E114" s="1" t="n">
        <v>46320</v>
      </c>
      <c r="F114" t="inlineStr">
        <is>
          <t>VÄSTMANLANDS LÄN</t>
        </is>
      </c>
      <c r="G114" t="inlineStr">
        <is>
          <t>SURAHAMMAR</t>
        </is>
      </c>
      <c r="H114" t="inlineStr">
        <is>
          <t>Bergvik skog väst AB</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10244-2026</t>
        </is>
      </c>
      <c r="B115" t="inlineStr">
        <is>
          <t>avverkningsanmälan</t>
        </is>
      </c>
      <c r="C115" t="inlineStr">
        <is>
          <t>Föryngringsavverkning</t>
        </is>
      </c>
      <c r="D115" s="1" t="n">
        <v>46076</v>
      </c>
      <c r="E115" s="1" t="n">
        <v>46320</v>
      </c>
      <c r="F115" t="inlineStr">
        <is>
          <t>VÄSTMANLANDS LÄN</t>
        </is>
      </c>
      <c r="G115" t="inlineStr">
        <is>
          <t>SURAHAMMAR</t>
        </is>
      </c>
      <c r="H115" t="inlineStr">
        <is>
          <t>Allmännings- och besparingsskogar</t>
        </is>
      </c>
      <c r="I115" t="n">
        <v>8.699999999999999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10562-2026</t>
        </is>
      </c>
      <c r="B116" t="inlineStr">
        <is>
          <t>avverkningsanmälan</t>
        </is>
      </c>
      <c r="C116" t="inlineStr">
        <is>
          <t>Föryngringsavverkning</t>
        </is>
      </c>
      <c r="D116" s="1" t="n">
        <v>46077</v>
      </c>
      <c r="E116" s="1" t="n">
        <v>46320</v>
      </c>
      <c r="F116" t="inlineStr">
        <is>
          <t>VÄSTMANLANDS LÄN</t>
        </is>
      </c>
      <c r="G116" t="inlineStr">
        <is>
          <t>SURAHAMMAR</t>
        </is>
      </c>
      <c r="H116" t="inlineStr">
        <is>
          <t>Övriga Aktiebolag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37954-2025</t>
        </is>
      </c>
      <c r="B117" t="inlineStr">
        <is>
          <t>avverkningsanmälan</t>
        </is>
      </c>
      <c r="C117" t="inlineStr">
        <is>
          <t>Föryngringsavverkning</t>
        </is>
      </c>
      <c r="D117" s="1" t="n">
        <v>45881</v>
      </c>
      <c r="E117" s="1" t="n">
        <v>46320</v>
      </c>
      <c r="F117" t="inlineStr">
        <is>
          <t>VÄSTMANLANDS LÄN</t>
        </is>
      </c>
      <c r="G117" t="inlineStr">
        <is>
          <t>SURAHAMMAR</t>
        </is>
      </c>
      <c r="I117" t="n">
        <v>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12841-2026</t>
        </is>
      </c>
      <c r="B118" t="inlineStr">
        <is>
          <t>avverkningsanmälan</t>
        </is>
      </c>
      <c r="C118" t="inlineStr">
        <is>
          <t>Föryngringsavverkning</t>
        </is>
      </c>
      <c r="D118" s="1" t="n">
        <v>46091</v>
      </c>
      <c r="E118" s="1" t="n">
        <v>46320</v>
      </c>
      <c r="F118" t="inlineStr">
        <is>
          <t>VÄSTMANLANDS LÄN</t>
        </is>
      </c>
      <c r="G118" t="inlineStr">
        <is>
          <t>SURAHAMMAR</t>
        </is>
      </c>
      <c r="H118" t="inlineStr">
        <is>
          <t>Bergvik skog väst AB</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19246-2026</t>
        </is>
      </c>
      <c r="B119" t="inlineStr">
        <is>
          <t>avverkningsanmälan</t>
        </is>
      </c>
      <c r="C119" t="inlineStr">
        <is>
          <t>Avverkning för annat ändamål</t>
        </is>
      </c>
      <c r="D119" s="1" t="n">
        <v>46132</v>
      </c>
      <c r="E119" s="1" t="n">
        <v>46320</v>
      </c>
      <c r="F119" t="inlineStr">
        <is>
          <t>VÄSTMANLANDS LÄN</t>
        </is>
      </c>
      <c r="G119" t="inlineStr">
        <is>
          <t>SURAHAMMAR</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3818-2022</t>
        </is>
      </c>
      <c r="B120" t="inlineStr">
        <is>
          <t>avverkningsanmälan</t>
        </is>
      </c>
      <c r="C120" t="inlineStr">
        <is>
          <t>Föryngringsavverkning</t>
        </is>
      </c>
      <c r="D120" s="1" t="n">
        <v>44587</v>
      </c>
      <c r="E120" s="1" t="n">
        <v>46320</v>
      </c>
      <c r="F120" t="inlineStr">
        <is>
          <t>VÄSTMANLANDS LÄN</t>
        </is>
      </c>
      <c r="G120" t="inlineStr">
        <is>
          <t>SURAHAMMAR</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32808-2024</t>
        </is>
      </c>
      <c r="B121" t="inlineStr">
        <is>
          <t>avverkningsanmälan</t>
        </is>
      </c>
      <c r="C121" t="inlineStr">
        <is>
          <t>Föryngringsavverkning</t>
        </is>
      </c>
      <c r="D121" s="1" t="n">
        <v>45516</v>
      </c>
      <c r="E121" s="1" t="n">
        <v>46320</v>
      </c>
      <c r="F121" t="inlineStr">
        <is>
          <t>VÄSTMANLANDS LÄN</t>
        </is>
      </c>
      <c r="G121" t="inlineStr">
        <is>
          <t>SURAHAMMAR</t>
        </is>
      </c>
      <c r="H121" t="inlineStr">
        <is>
          <t>Övriga Aktiebolag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19782-2023</t>
        </is>
      </c>
      <c r="B122" t="inlineStr">
        <is>
          <t>avverkningsanmälan</t>
        </is>
      </c>
      <c r="C122" t="inlineStr">
        <is>
          <t>Föryngringsavverkning</t>
        </is>
      </c>
      <c r="D122" s="1" t="n">
        <v>45050</v>
      </c>
      <c r="E122" s="1" t="n">
        <v>46320</v>
      </c>
      <c r="F122" t="inlineStr">
        <is>
          <t>VÄSTMANLANDS LÄN</t>
        </is>
      </c>
      <c r="G122" t="inlineStr">
        <is>
          <t>SURAHAMMAR</t>
        </is>
      </c>
      <c r="H122" t="inlineStr">
        <is>
          <t>Bergvik skog väst AB</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14626-2023</t>
        </is>
      </c>
      <c r="B123" t="inlineStr">
        <is>
          <t>avverkningsanmälan</t>
        </is>
      </c>
      <c r="C123" t="inlineStr">
        <is>
          <t>Föryngringsavverkning</t>
        </is>
      </c>
      <c r="D123" s="1" t="n">
        <v>45012</v>
      </c>
      <c r="E123" s="1" t="n">
        <v>46320</v>
      </c>
      <c r="F123" t="inlineStr">
        <is>
          <t>VÄSTMANLANDS LÄN</t>
        </is>
      </c>
      <c r="G123" t="inlineStr">
        <is>
          <t>SURAHAMMAR</t>
        </is>
      </c>
      <c r="H123" t="inlineStr">
        <is>
          <t>Bergvik skog väst AB</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49058-2024</t>
        </is>
      </c>
      <c r="B124" t="inlineStr">
        <is>
          <t>avverkningsanmälan</t>
        </is>
      </c>
      <c r="C124" t="inlineStr">
        <is>
          <t>Föryngringsavverkning</t>
        </is>
      </c>
      <c r="D124" s="1" t="n">
        <v>45594</v>
      </c>
      <c r="E124" s="1" t="n">
        <v>46320</v>
      </c>
      <c r="F124" t="inlineStr">
        <is>
          <t>VÄSTMANLANDS LÄN</t>
        </is>
      </c>
      <c r="G124" t="inlineStr">
        <is>
          <t>SURAHAMMAR</t>
        </is>
      </c>
      <c r="H124" t="inlineStr">
        <is>
          <t>Sveaskog</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56378-2023</t>
        </is>
      </c>
      <c r="B125" t="inlineStr">
        <is>
          <t>avverkningsanmälan</t>
        </is>
      </c>
      <c r="C125" t="inlineStr">
        <is>
          <t>Föryngringsavverkning</t>
        </is>
      </c>
      <c r="D125" s="1" t="n">
        <v>45236</v>
      </c>
      <c r="E125" s="1" t="n">
        <v>46320</v>
      </c>
      <c r="F125" t="inlineStr">
        <is>
          <t>VÄSTMANLANDS LÄN</t>
        </is>
      </c>
      <c r="G125" t="inlineStr">
        <is>
          <t>SURAHAMMAR</t>
        </is>
      </c>
      <c r="H125" t="inlineStr">
        <is>
          <t>Bergvik skog väst AB</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11728-2023</t>
        </is>
      </c>
      <c r="B126" t="inlineStr">
        <is>
          <t>avverkningsanmälan</t>
        </is>
      </c>
      <c r="C126" t="inlineStr">
        <is>
          <t>Avverkning för att bevara och utveckla /försöksver</t>
        </is>
      </c>
      <c r="D126" s="1" t="n">
        <v>44993</v>
      </c>
      <c r="E126" s="1" t="n">
        <v>46320</v>
      </c>
      <c r="F126" t="inlineStr">
        <is>
          <t>VÄSTMANLANDS LÄN</t>
        </is>
      </c>
      <c r="G126" t="inlineStr">
        <is>
          <t>SURAHAMMAR</t>
        </is>
      </c>
      <c r="H126" t="inlineStr">
        <is>
          <t>Bergvik skog väst AB</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20904-2023</t>
        </is>
      </c>
      <c r="B127" t="inlineStr">
        <is>
          <t>avverkningsanmälan</t>
        </is>
      </c>
      <c r="C127" t="inlineStr">
        <is>
          <t>Avverkning för att bevara och utveckla /försöksver</t>
        </is>
      </c>
      <c r="D127" s="1" t="n">
        <v>45060</v>
      </c>
      <c r="E127" s="1" t="n">
        <v>46320</v>
      </c>
      <c r="F127" t="inlineStr">
        <is>
          <t>VÄSTMANLANDS LÄN</t>
        </is>
      </c>
      <c r="G127" t="inlineStr">
        <is>
          <t>SURAHAMMAR</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42829-2022</t>
        </is>
      </c>
      <c r="B128" t="inlineStr">
        <is>
          <t>avverkningsanmälan</t>
        </is>
      </c>
      <c r="C128" t="inlineStr">
        <is>
          <t>Avverkning för annat ändamål</t>
        </is>
      </c>
      <c r="D128" s="1" t="n">
        <v>44832</v>
      </c>
      <c r="E128" s="1" t="n">
        <v>46320</v>
      </c>
      <c r="F128" t="inlineStr">
        <is>
          <t>VÄSTMANLANDS LÄN</t>
        </is>
      </c>
      <c r="G128" t="inlineStr">
        <is>
          <t>SURAHAMMAR</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48205-2023</t>
        </is>
      </c>
      <c r="B129" t="inlineStr">
        <is>
          <t>avverkningsanmälan</t>
        </is>
      </c>
      <c r="C129" t="inlineStr">
        <is>
          <t>Föryngringsavverkning</t>
        </is>
      </c>
      <c r="D129" s="1" t="n">
        <v>45205</v>
      </c>
      <c r="E129" s="1" t="n">
        <v>46320</v>
      </c>
      <c r="F129" t="inlineStr">
        <is>
          <t>VÄSTMANLANDS LÄN</t>
        </is>
      </c>
      <c r="G129" t="inlineStr">
        <is>
          <t>SURAHAMMAR</t>
        </is>
      </c>
      <c r="H129" t="inlineStr">
        <is>
          <t>Allmännings- och besparingsskogar</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33931-2022</t>
        </is>
      </c>
      <c r="B130" t="inlineStr">
        <is>
          <t>avverkningsanmälan</t>
        </is>
      </c>
      <c r="C130" t="inlineStr">
        <is>
          <t>Föryngringsavverkning</t>
        </is>
      </c>
      <c r="D130" s="1" t="n">
        <v>44790</v>
      </c>
      <c r="E130" s="1" t="n">
        <v>46320</v>
      </c>
      <c r="F130" t="inlineStr">
        <is>
          <t>VÄSTMANLANDS LÄN</t>
        </is>
      </c>
      <c r="G130" t="inlineStr">
        <is>
          <t>SURAHAMMAR</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22662-2023</t>
        </is>
      </c>
      <c r="B131" t="inlineStr">
        <is>
          <t>avverkningsanmälan</t>
        </is>
      </c>
      <c r="C131" t="inlineStr">
        <is>
          <t>Avverkning för att bevara och utveckla /försöksver</t>
        </is>
      </c>
      <c r="D131" s="1" t="n">
        <v>45071</v>
      </c>
      <c r="E131" s="1" t="n">
        <v>46320</v>
      </c>
      <c r="F131" t="inlineStr">
        <is>
          <t>VÄSTMANLANDS LÄN</t>
        </is>
      </c>
      <c r="G131" t="inlineStr">
        <is>
          <t>SURAHAMMAR</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25450-2024</t>
        </is>
      </c>
      <c r="B132" t="inlineStr">
        <is>
          <t>avverkningsanmälan</t>
        </is>
      </c>
      <c r="C132" t="inlineStr">
        <is>
          <t>Föryngringsavverkning</t>
        </is>
      </c>
      <c r="D132" s="1" t="n">
        <v>45463</v>
      </c>
      <c r="E132" s="1" t="n">
        <v>46320</v>
      </c>
      <c r="F132" t="inlineStr">
        <is>
          <t>VÄSTMANLANDS LÄN</t>
        </is>
      </c>
      <c r="G132" t="inlineStr">
        <is>
          <t>SURAHAMMAR</t>
        </is>
      </c>
      <c r="H132" t="inlineStr">
        <is>
          <t>Bergvik skog väst AB</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24665-2023</t>
        </is>
      </c>
      <c r="B133" t="inlineStr">
        <is>
          <t>avverkningsanmälan</t>
        </is>
      </c>
      <c r="C133" t="inlineStr">
        <is>
          <t>Föryngringsavverkning</t>
        </is>
      </c>
      <c r="D133" s="1" t="n">
        <v>45084</v>
      </c>
      <c r="E133" s="1" t="n">
        <v>46320</v>
      </c>
      <c r="F133" t="inlineStr">
        <is>
          <t>VÄSTMANLANDS LÄN</t>
        </is>
      </c>
      <c r="G133" t="inlineStr">
        <is>
          <t>SURAHAMMAR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72367-2021</t>
        </is>
      </c>
      <c r="B134" t="inlineStr">
        <is>
          <t>avverkningsanmälan</t>
        </is>
      </c>
      <c r="C134" t="inlineStr">
        <is>
          <t>Föryngringsavverkning</t>
        </is>
      </c>
      <c r="D134" s="1" t="n">
        <v>44545</v>
      </c>
      <c r="E134" s="1" t="n">
        <v>46320</v>
      </c>
      <c r="F134" t="inlineStr">
        <is>
          <t>VÄSTMANLANDS LÄN</t>
        </is>
      </c>
      <c r="G134" t="inlineStr">
        <is>
          <t>SURAHAMMAR</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42714-2022</t>
        </is>
      </c>
      <c r="B135" t="inlineStr">
        <is>
          <t>avverkningsanmälan</t>
        </is>
      </c>
      <c r="C135" t="inlineStr">
        <is>
          <t>Föryngringsavverkning</t>
        </is>
      </c>
      <c r="D135" s="1" t="n">
        <v>44832</v>
      </c>
      <c r="E135" s="1" t="n">
        <v>46320</v>
      </c>
      <c r="F135" t="inlineStr">
        <is>
          <t>VÄSTMANLANDS LÄN</t>
        </is>
      </c>
      <c r="G135" t="inlineStr">
        <is>
          <t>SURAHAMMAR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19099-2022</t>
        </is>
      </c>
      <c r="B136" t="inlineStr">
        <is>
          <t>avverkningsanmälan</t>
        </is>
      </c>
      <c r="C136" t="inlineStr">
        <is>
          <t>Föryngringsavverkning</t>
        </is>
      </c>
      <c r="D136" s="1" t="n">
        <v>44691</v>
      </c>
      <c r="E136" s="1" t="n">
        <v>46320</v>
      </c>
      <c r="F136" t="inlineStr">
        <is>
          <t>VÄSTMANLANDS LÄN</t>
        </is>
      </c>
      <c r="G136" t="inlineStr">
        <is>
          <t>SURAHAMMAR</t>
        </is>
      </c>
      <c r="H136" t="inlineStr">
        <is>
          <t>Övriga Aktiebolag</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25780-2023</t>
        </is>
      </c>
      <c r="B137" t="inlineStr">
        <is>
          <t>avverkningsanmälan</t>
        </is>
      </c>
      <c r="C137" t="inlineStr">
        <is>
          <t>Föryngringsavverkning</t>
        </is>
      </c>
      <c r="D137" s="1" t="n">
        <v>45090</v>
      </c>
      <c r="E137" s="1" t="n">
        <v>46320</v>
      </c>
      <c r="F137" t="inlineStr">
        <is>
          <t>VÄSTMANLANDS LÄN</t>
        </is>
      </c>
      <c r="G137" t="inlineStr">
        <is>
          <t>SURAHAMMAR</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35682-2022</t>
        </is>
      </c>
      <c r="B138" t="inlineStr">
        <is>
          <t>avverkningsanmälan</t>
        </is>
      </c>
      <c r="C138" t="inlineStr">
        <is>
          <t>Föryngringsavverkning</t>
        </is>
      </c>
      <c r="D138" s="1" t="n">
        <v>44799</v>
      </c>
      <c r="E138" s="1" t="n">
        <v>46320</v>
      </c>
      <c r="F138" t="inlineStr">
        <is>
          <t>VÄSTMANLANDS LÄN</t>
        </is>
      </c>
      <c r="G138" t="inlineStr">
        <is>
          <t>SURAHAMMAR</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2867-2024</t>
        </is>
      </c>
      <c r="B139" t="inlineStr">
        <is>
          <t>avverkningsanmälan</t>
        </is>
      </c>
      <c r="C139" t="inlineStr">
        <is>
          <t>Föryngringsavverkning</t>
        </is>
      </c>
      <c r="D139" s="1" t="n">
        <v>45315</v>
      </c>
      <c r="E139" s="1" t="n">
        <v>46320</v>
      </c>
      <c r="F139" t="inlineStr">
        <is>
          <t>VÄSTMANLANDS LÄN</t>
        </is>
      </c>
      <c r="G139" t="inlineStr">
        <is>
          <t>SURAHAMMAR</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2660-2024</t>
        </is>
      </c>
      <c r="B140" t="inlineStr">
        <is>
          <t>avverkningsanmälan</t>
        </is>
      </c>
      <c r="C140" t="inlineStr">
        <is>
          <t>Föryngringsavverkning</t>
        </is>
      </c>
      <c r="D140" s="1" t="n">
        <v>45310</v>
      </c>
      <c r="E140" s="1" t="n">
        <v>46320</v>
      </c>
      <c r="F140" t="inlineStr">
        <is>
          <t>VÄSTMANLANDS LÄN</t>
        </is>
      </c>
      <c r="G140" t="inlineStr">
        <is>
          <t>SURAHAMMAR</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5567-2022</t>
        </is>
      </c>
      <c r="B141" t="inlineStr">
        <is>
          <t>avverkningsanmälan</t>
        </is>
      </c>
      <c r="C141" t="inlineStr">
        <is>
          <t>Föryngringsavverkning</t>
        </is>
      </c>
      <c r="D141" s="1" t="n">
        <v>44595</v>
      </c>
      <c r="E141" s="1" t="n">
        <v>46320</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3085-2023</t>
        </is>
      </c>
      <c r="B142" t="inlineStr">
        <is>
          <t>avverkningsanmälan</t>
        </is>
      </c>
      <c r="C142" t="inlineStr">
        <is>
          <t>Föryngringsavverkning</t>
        </is>
      </c>
      <c r="D142" s="1" t="n">
        <v>44946</v>
      </c>
      <c r="E142" s="1" t="n">
        <v>46320</v>
      </c>
      <c r="F142" t="inlineStr">
        <is>
          <t>VÄSTMANLANDS LÄN</t>
        </is>
      </c>
      <c r="G142" t="inlineStr">
        <is>
          <t>SURAHAMMAR</t>
        </is>
      </c>
      <c r="H142" t="inlineStr">
        <is>
          <t>Kyrkan</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46320</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46320</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46320</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2026-10-25T02:03:22Z</dcterms:created>
  <dcterms:modified xmlns:dcterms="http://purl.org/dc/terms/" xmlns:xsi="http://www.w3.org/2001/XMLSchema-instance" xsi:type="dcterms:W3CDTF">2026-10-25T02:03:23Z</dcterms:modified>
</cp:coreProperties>
</file>