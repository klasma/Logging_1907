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45566</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45566</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45566</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45566</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45566</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45566</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45566</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45566</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45566</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45566</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45566</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45566</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45566</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45566</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45566</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45566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45566</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45566</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31280-2024</t>
        </is>
      </c>
      <c r="B23" s="1" t="n">
        <v>45504</v>
      </c>
      <c r="C23" s="1" t="n">
        <v>45566</v>
      </c>
      <c r="D23" t="inlineStr">
        <is>
          <t>VÄSTMANLANDS LÄN</t>
        </is>
      </c>
      <c r="E23" t="inlineStr">
        <is>
          <t>SURAHAMMAR</t>
        </is>
      </c>
      <c r="F23" t="inlineStr">
        <is>
          <t>Allmännings- och besparingsskogar</t>
        </is>
      </c>
      <c r="G23" t="n">
        <v>6.9</v>
      </c>
      <c r="H23" t="n">
        <v>2</v>
      </c>
      <c r="I23" t="n">
        <v>3</v>
      </c>
      <c r="J23" t="n">
        <v>0</v>
      </c>
      <c r="K23" t="n">
        <v>1</v>
      </c>
      <c r="L23" t="n">
        <v>0</v>
      </c>
      <c r="M23" t="n">
        <v>0</v>
      </c>
      <c r="N23" t="n">
        <v>0</v>
      </c>
      <c r="O23" t="n">
        <v>1</v>
      </c>
      <c r="P23" t="n">
        <v>1</v>
      </c>
      <c r="Q23" t="n">
        <v>5</v>
      </c>
      <c r="R23" s="2" t="inlineStr">
        <is>
          <t>Knärot
Grönpyrola
Mindre märgborre
Vedticka
Fläcknycklar</t>
        </is>
      </c>
      <c r="S23">
        <f>HYPERLINK("https://klasma.github.io/Logging_1907/artfynd/A 31280-2024 artfynd.xlsx", "A 31280-2024")</f>
        <v/>
      </c>
      <c r="T23">
        <f>HYPERLINK("https://klasma.github.io/Logging_1907/kartor/A 31280-2024 karta.png", "A 31280-2024")</f>
        <v/>
      </c>
      <c r="U23">
        <f>HYPERLINK("https://klasma.github.io/Logging_1907/knärot/A 31280-2024 karta knärot.png", "A 31280-2024")</f>
        <v/>
      </c>
      <c r="V23">
        <f>HYPERLINK("https://klasma.github.io/Logging_1907/klagomål/A 31280-2024 FSC-klagomål.docx", "A 31280-2024")</f>
        <v/>
      </c>
      <c r="W23">
        <f>HYPERLINK("https://klasma.github.io/Logging_1907/klagomålsmail/A 31280-2024 FSC-klagomål mail.docx", "A 31280-2024")</f>
        <v/>
      </c>
      <c r="X23">
        <f>HYPERLINK("https://klasma.github.io/Logging_1907/tillsyn/A 31280-2024 tillsynsbegäran.docx", "A 31280-2024")</f>
        <v/>
      </c>
      <c r="Y23">
        <f>HYPERLINK("https://klasma.github.io/Logging_1907/tillsynsmail/A 31280-2024 tillsynsbegäran mail.docx", "A 31280-2024")</f>
        <v/>
      </c>
    </row>
    <row r="24" ht="15" customHeight="1">
      <c r="A24" t="inlineStr">
        <is>
          <t>A 38172-2024</t>
        </is>
      </c>
      <c r="B24" s="1" t="n">
        <v>45545</v>
      </c>
      <c r="C24" s="1" t="n">
        <v>45566</v>
      </c>
      <c r="D24" t="inlineStr">
        <is>
          <t>VÄSTMANLANDS LÄN</t>
        </is>
      </c>
      <c r="E24" t="inlineStr">
        <is>
          <t>SURAHAMMAR</t>
        </is>
      </c>
      <c r="F24" t="inlineStr">
        <is>
          <t>Sveaskog</t>
        </is>
      </c>
      <c r="G24" t="n">
        <v>5.2</v>
      </c>
      <c r="H24" t="n">
        <v>3</v>
      </c>
      <c r="I24" t="n">
        <v>0</v>
      </c>
      <c r="J24" t="n">
        <v>2</v>
      </c>
      <c r="K24" t="n">
        <v>1</v>
      </c>
      <c r="L24" t="n">
        <v>0</v>
      </c>
      <c r="M24" t="n">
        <v>0</v>
      </c>
      <c r="N24" t="n">
        <v>0</v>
      </c>
      <c r="O24" t="n">
        <v>3</v>
      </c>
      <c r="P24" t="n">
        <v>1</v>
      </c>
      <c r="Q24" t="n">
        <v>5</v>
      </c>
      <c r="R24" s="2" t="inlineStr">
        <is>
          <t>Knärot
Gropticka
Vedtrappmossa
Lopplummer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22033-2020</t>
        </is>
      </c>
      <c r="B25" s="1" t="n">
        <v>43959</v>
      </c>
      <c r="C25" s="1" t="n">
        <v>45566</v>
      </c>
      <c r="D25" t="inlineStr">
        <is>
          <t>VÄSTMANLANDS LÄN</t>
        </is>
      </c>
      <c r="E25" t="inlineStr">
        <is>
          <t>SURAHAMMAR</t>
        </is>
      </c>
      <c r="G25" t="n">
        <v>0.5</v>
      </c>
      <c r="H25" t="n">
        <v>2</v>
      </c>
      <c r="I25" t="n">
        <v>1</v>
      </c>
      <c r="J25" t="n">
        <v>0</v>
      </c>
      <c r="K25" t="n">
        <v>3</v>
      </c>
      <c r="L25" t="n">
        <v>0</v>
      </c>
      <c r="M25" t="n">
        <v>0</v>
      </c>
      <c r="N25" t="n">
        <v>0</v>
      </c>
      <c r="O25" t="n">
        <v>3</v>
      </c>
      <c r="P25" t="n">
        <v>3</v>
      </c>
      <c r="Q25" t="n">
        <v>4</v>
      </c>
      <c r="R25" s="2" t="inlineStr">
        <is>
          <t>Bombmurkla
Knärot
Vågticka
Vedticka</t>
        </is>
      </c>
      <c r="S25">
        <f>HYPERLINK("https://klasma.github.io/Logging_1907/artfynd/A 22033-2020 artfynd.xlsx", "A 22033-2020")</f>
        <v/>
      </c>
      <c r="T25">
        <f>HYPERLINK("https://klasma.github.io/Logging_1907/kartor/A 22033-2020 karta.png", "A 22033-2020")</f>
        <v/>
      </c>
      <c r="U25">
        <f>HYPERLINK("https://klasma.github.io/Logging_1907/knärot/A 22033-2020 karta knärot.png", "A 22033-2020")</f>
        <v/>
      </c>
      <c r="V25">
        <f>HYPERLINK("https://klasma.github.io/Logging_1907/klagomål/A 22033-2020 FSC-klagomål.docx", "A 22033-2020")</f>
        <v/>
      </c>
      <c r="W25">
        <f>HYPERLINK("https://klasma.github.io/Logging_1907/klagomålsmail/A 22033-2020 FSC-klagomål mail.docx", "A 22033-2020")</f>
        <v/>
      </c>
      <c r="X25">
        <f>HYPERLINK("https://klasma.github.io/Logging_1907/tillsyn/A 22033-2020 tillsynsbegäran.docx", "A 22033-2020")</f>
        <v/>
      </c>
      <c r="Y25">
        <f>HYPERLINK("https://klasma.github.io/Logging_1907/tillsynsmail/A 22033-2020 tillsynsbegäran mail.docx", "A 22033-2020")</f>
        <v/>
      </c>
    </row>
    <row r="26" ht="15" customHeight="1">
      <c r="A26" t="inlineStr">
        <is>
          <t>A 48891-2023</t>
        </is>
      </c>
      <c r="B26" s="1" t="n">
        <v>45203</v>
      </c>
      <c r="C26" s="1" t="n">
        <v>45566</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20707-2024</t>
        </is>
      </c>
      <c r="B27" s="1" t="n">
        <v>45436</v>
      </c>
      <c r="C27" s="1" t="n">
        <v>45566</v>
      </c>
      <c r="D27" t="inlineStr">
        <is>
          <t>VÄSTMANLANDS LÄN</t>
        </is>
      </c>
      <c r="E27" t="inlineStr">
        <is>
          <t>SURAHAMMAR</t>
        </is>
      </c>
      <c r="F27" t="inlineStr">
        <is>
          <t>Bergvik skog väst AB</t>
        </is>
      </c>
      <c r="G27" t="n">
        <v>4.3</v>
      </c>
      <c r="H27" t="n">
        <v>2</v>
      </c>
      <c r="I27" t="n">
        <v>0</v>
      </c>
      <c r="J27" t="n">
        <v>2</v>
      </c>
      <c r="K27" t="n">
        <v>0</v>
      </c>
      <c r="L27" t="n">
        <v>0</v>
      </c>
      <c r="M27" t="n">
        <v>0</v>
      </c>
      <c r="N27" t="n">
        <v>0</v>
      </c>
      <c r="O27" t="n">
        <v>2</v>
      </c>
      <c r="P27" t="n">
        <v>0</v>
      </c>
      <c r="Q27" t="n">
        <v>4</v>
      </c>
      <c r="R27" s="2" t="inlineStr">
        <is>
          <t>Dofttaggsvamp
Orange taggsvamp
Fläcknycklar
Mattlummer</t>
        </is>
      </c>
      <c r="S27">
        <f>HYPERLINK("https://klasma.github.io/Logging_1907/artfynd/A 20707-2024 artfynd.xlsx", "A 20707-2024")</f>
        <v/>
      </c>
      <c r="T27">
        <f>HYPERLINK("https://klasma.github.io/Logging_1907/kartor/A 20707-2024 karta.png", "A 20707-2024")</f>
        <v/>
      </c>
      <c r="V27">
        <f>HYPERLINK("https://klasma.github.io/Logging_1907/klagomål/A 20707-2024 FSC-klagomål.docx", "A 20707-2024")</f>
        <v/>
      </c>
      <c r="W27">
        <f>HYPERLINK("https://klasma.github.io/Logging_1907/klagomålsmail/A 20707-2024 FSC-klagomål mail.docx", "A 20707-2024")</f>
        <v/>
      </c>
      <c r="X27">
        <f>HYPERLINK("https://klasma.github.io/Logging_1907/tillsyn/A 20707-2024 tillsynsbegäran.docx", "A 20707-2024")</f>
        <v/>
      </c>
      <c r="Y27">
        <f>HYPERLINK("https://klasma.github.io/Logging_1907/tillsynsmail/A 20707-2024 tillsynsbegäran mail.docx", "A 20707-2024")</f>
        <v/>
      </c>
    </row>
    <row r="28" ht="15" customHeight="1">
      <c r="A28" t="inlineStr">
        <is>
          <t>A 59550-2020</t>
        </is>
      </c>
      <c r="B28" s="1" t="n">
        <v>44148</v>
      </c>
      <c r="C28" s="1" t="n">
        <v>45566</v>
      </c>
      <c r="D28" t="inlineStr">
        <is>
          <t>VÄSTMANLANDS LÄN</t>
        </is>
      </c>
      <c r="E28" t="inlineStr">
        <is>
          <t>SURAHAMMAR</t>
        </is>
      </c>
      <c r="G28" t="n">
        <v>0.8</v>
      </c>
      <c r="H28" t="n">
        <v>1</v>
      </c>
      <c r="I28" t="n">
        <v>1</v>
      </c>
      <c r="J28" t="n">
        <v>1</v>
      </c>
      <c r="K28" t="n">
        <v>0</v>
      </c>
      <c r="L28" t="n">
        <v>0</v>
      </c>
      <c r="M28" t="n">
        <v>0</v>
      </c>
      <c r="N28" t="n">
        <v>0</v>
      </c>
      <c r="O28" t="n">
        <v>1</v>
      </c>
      <c r="P28" t="n">
        <v>0</v>
      </c>
      <c r="Q28" t="n">
        <v>3</v>
      </c>
      <c r="R28" s="2" t="inlineStr">
        <is>
          <t>Ljusskivig lerskivling
Hasselticka
Blåsippa</t>
        </is>
      </c>
      <c r="S28">
        <f>HYPERLINK("https://klasma.github.io/Logging_1907/artfynd/A 59550-2020 artfynd.xlsx", "A 59550-2020")</f>
        <v/>
      </c>
      <c r="T28">
        <f>HYPERLINK("https://klasma.github.io/Logging_1907/kartor/A 59550-2020 karta.png", "A 59550-2020")</f>
        <v/>
      </c>
      <c r="V28">
        <f>HYPERLINK("https://klasma.github.io/Logging_1907/klagomål/A 59550-2020 FSC-klagomål.docx", "A 59550-2020")</f>
        <v/>
      </c>
      <c r="W28">
        <f>HYPERLINK("https://klasma.github.io/Logging_1907/klagomålsmail/A 59550-2020 FSC-klagomål mail.docx", "A 59550-2020")</f>
        <v/>
      </c>
      <c r="X28">
        <f>HYPERLINK("https://klasma.github.io/Logging_1907/tillsyn/A 59550-2020 tillsynsbegäran.docx", "A 59550-2020")</f>
        <v/>
      </c>
      <c r="Y28">
        <f>HYPERLINK("https://klasma.github.io/Logging_1907/tillsynsmail/A 59550-2020 tillsynsbegäran mail.docx", "A 59550-2020")</f>
        <v/>
      </c>
    </row>
    <row r="29" ht="15" customHeight="1">
      <c r="A29" t="inlineStr">
        <is>
          <t>A 38200-2021</t>
        </is>
      </c>
      <c r="B29" s="1" t="n">
        <v>44405</v>
      </c>
      <c r="C29" s="1" t="n">
        <v>45566</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8552-2022</t>
        </is>
      </c>
      <c r="B30" s="1" t="n">
        <v>44613</v>
      </c>
      <c r="C30" s="1" t="n">
        <v>45566</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42708-2022</t>
        </is>
      </c>
      <c r="B31" s="1" t="n">
        <v>44832</v>
      </c>
      <c r="C31" s="1" t="n">
        <v>45566</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42853-2022</t>
        </is>
      </c>
      <c r="B32" s="1" t="n">
        <v>44832</v>
      </c>
      <c r="C32" s="1" t="n">
        <v>45566</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42860-2022</t>
        </is>
      </c>
      <c r="B33" s="1" t="n">
        <v>44832</v>
      </c>
      <c r="C33" s="1" t="n">
        <v>45566</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3012-2023</t>
        </is>
      </c>
      <c r="B34" s="1" t="n">
        <v>44945</v>
      </c>
      <c r="C34" s="1" t="n">
        <v>45566</v>
      </c>
      <c r="D34" t="inlineStr">
        <is>
          <t>VÄSTMANLANDS LÄN</t>
        </is>
      </c>
      <c r="E34" t="inlineStr">
        <is>
          <t>SURAHAMMAR</t>
        </is>
      </c>
      <c r="F34" t="inlineStr">
        <is>
          <t>Sveaskog</t>
        </is>
      </c>
      <c r="G34" t="n">
        <v>5.7</v>
      </c>
      <c r="H34" t="n">
        <v>0</v>
      </c>
      <c r="I34" t="n">
        <v>1</v>
      </c>
      <c r="J34" t="n">
        <v>0</v>
      </c>
      <c r="K34" t="n">
        <v>0</v>
      </c>
      <c r="L34" t="n">
        <v>1</v>
      </c>
      <c r="M34" t="n">
        <v>1</v>
      </c>
      <c r="N34" t="n">
        <v>0</v>
      </c>
      <c r="O34" t="n">
        <v>2</v>
      </c>
      <c r="P34" t="n">
        <v>2</v>
      </c>
      <c r="Q34" t="n">
        <v>3</v>
      </c>
      <c r="R34" s="2" t="inlineStr">
        <is>
          <t>Skogsalm
Ask
Svart trolldruva</t>
        </is>
      </c>
      <c r="S34">
        <f>HYPERLINK("https://klasma.github.io/Logging_1907/artfynd/A 3012-2023 artfynd.xlsx", "A 3012-2023")</f>
        <v/>
      </c>
      <c r="T34">
        <f>HYPERLINK("https://klasma.github.io/Logging_1907/kartor/A 3012-2023 karta.png", "A 3012-2023")</f>
        <v/>
      </c>
      <c r="V34">
        <f>HYPERLINK("https://klasma.github.io/Logging_1907/klagomål/A 3012-2023 FSC-klagomål.docx", "A 3012-2023")</f>
        <v/>
      </c>
      <c r="W34">
        <f>HYPERLINK("https://klasma.github.io/Logging_1907/klagomålsmail/A 3012-2023 FSC-klagomål mail.docx", "A 3012-2023")</f>
        <v/>
      </c>
      <c r="X34">
        <f>HYPERLINK("https://klasma.github.io/Logging_1907/tillsyn/A 3012-2023 tillsynsbegäran.docx", "A 3012-2023")</f>
        <v/>
      </c>
      <c r="Y34">
        <f>HYPERLINK("https://klasma.github.io/Logging_1907/tillsynsmail/A 3012-2023 tillsynsbegäran mail.docx", "A 3012-2023")</f>
        <v/>
      </c>
    </row>
    <row r="35" ht="15" customHeight="1">
      <c r="A35" t="inlineStr">
        <is>
          <t>A 14587-2023</t>
        </is>
      </c>
      <c r="B35" s="1" t="n">
        <v>45013</v>
      </c>
      <c r="C35" s="1" t="n">
        <v>45566</v>
      </c>
      <c r="D35" t="inlineStr">
        <is>
          <t>VÄSTMANLANDS LÄN</t>
        </is>
      </c>
      <c r="E35" t="inlineStr">
        <is>
          <t>SURAHAMMAR</t>
        </is>
      </c>
      <c r="G35" t="n">
        <v>14.8</v>
      </c>
      <c r="H35" t="n">
        <v>1</v>
      </c>
      <c r="I35" t="n">
        <v>1</v>
      </c>
      <c r="J35" t="n">
        <v>1</v>
      </c>
      <c r="K35" t="n">
        <v>0</v>
      </c>
      <c r="L35" t="n">
        <v>0</v>
      </c>
      <c r="M35" t="n">
        <v>0</v>
      </c>
      <c r="N35" t="n">
        <v>0</v>
      </c>
      <c r="O35" t="n">
        <v>1</v>
      </c>
      <c r="P35" t="n">
        <v>0</v>
      </c>
      <c r="Q35" t="n">
        <v>3</v>
      </c>
      <c r="R35" s="2" t="inlineStr">
        <is>
          <t>Skogshare
Vedticka
Mattlummer</t>
        </is>
      </c>
      <c r="S35">
        <f>HYPERLINK("https://klasma.github.io/Logging_1907/artfynd/A 14587-2023 artfynd.xlsx", "A 14587-2023")</f>
        <v/>
      </c>
      <c r="T35">
        <f>HYPERLINK("https://klasma.github.io/Logging_1907/kartor/A 14587-2023 karta.png", "A 14587-2023")</f>
        <v/>
      </c>
      <c r="V35">
        <f>HYPERLINK("https://klasma.github.io/Logging_1907/klagomål/A 14587-2023 FSC-klagomål.docx", "A 14587-2023")</f>
        <v/>
      </c>
      <c r="W35">
        <f>HYPERLINK("https://klasma.github.io/Logging_1907/klagomålsmail/A 14587-2023 FSC-klagomål mail.docx", "A 14587-2023")</f>
        <v/>
      </c>
      <c r="X35">
        <f>HYPERLINK("https://klasma.github.io/Logging_1907/tillsyn/A 14587-2023 tillsynsbegäran.docx", "A 14587-2023")</f>
        <v/>
      </c>
      <c r="Y35">
        <f>HYPERLINK("https://klasma.github.io/Logging_1907/tillsynsmail/A 14587-2023 tillsynsbegäran mail.docx", "A 14587-2023")</f>
        <v/>
      </c>
    </row>
    <row r="36" ht="15" customHeight="1">
      <c r="A36" t="inlineStr">
        <is>
          <t>A 24222-2023</t>
        </is>
      </c>
      <c r="B36" s="1" t="n">
        <v>45079</v>
      </c>
      <c r="C36" s="1" t="n">
        <v>45566</v>
      </c>
      <c r="D36" t="inlineStr">
        <is>
          <t>VÄSTMANLANDS LÄN</t>
        </is>
      </c>
      <c r="E36" t="inlineStr">
        <is>
          <t>SURAHAMMAR</t>
        </is>
      </c>
      <c r="F36" t="inlineStr">
        <is>
          <t>Sveaskog</t>
        </is>
      </c>
      <c r="G36" t="n">
        <v>9.699999999999999</v>
      </c>
      <c r="H36" t="n">
        <v>1</v>
      </c>
      <c r="I36" t="n">
        <v>1</v>
      </c>
      <c r="J36" t="n">
        <v>1</v>
      </c>
      <c r="K36" t="n">
        <v>0</v>
      </c>
      <c r="L36" t="n">
        <v>0</v>
      </c>
      <c r="M36" t="n">
        <v>0</v>
      </c>
      <c r="N36" t="n">
        <v>0</v>
      </c>
      <c r="O36" t="n">
        <v>1</v>
      </c>
      <c r="P36" t="n">
        <v>0</v>
      </c>
      <c r="Q36" t="n">
        <v>3</v>
      </c>
      <c r="R36" s="2" t="inlineStr">
        <is>
          <t>Svinrot
Blodticka
Revlummer</t>
        </is>
      </c>
      <c r="S36">
        <f>HYPERLINK("https://klasma.github.io/Logging_1907/artfynd/A 24222-2023 artfynd.xlsx", "A 24222-2023")</f>
        <v/>
      </c>
      <c r="T36">
        <f>HYPERLINK("https://klasma.github.io/Logging_1907/kartor/A 24222-2023 karta.png", "A 24222-2023")</f>
        <v/>
      </c>
      <c r="V36">
        <f>HYPERLINK("https://klasma.github.io/Logging_1907/klagomål/A 24222-2023 FSC-klagomål.docx", "A 24222-2023")</f>
        <v/>
      </c>
      <c r="W36">
        <f>HYPERLINK("https://klasma.github.io/Logging_1907/klagomålsmail/A 24222-2023 FSC-klagomål mail.docx", "A 24222-2023")</f>
        <v/>
      </c>
      <c r="X36">
        <f>HYPERLINK("https://klasma.github.io/Logging_1907/tillsyn/A 24222-2023 tillsynsbegäran.docx", "A 24222-2023")</f>
        <v/>
      </c>
      <c r="Y36">
        <f>HYPERLINK("https://klasma.github.io/Logging_1907/tillsynsmail/A 24222-2023 tillsynsbegäran mail.docx", "A 24222-2023")</f>
        <v/>
      </c>
    </row>
    <row r="37" ht="15" customHeight="1">
      <c r="A37" t="inlineStr">
        <is>
          <t>A 48128-2023</t>
        </is>
      </c>
      <c r="B37" s="1" t="n">
        <v>45205</v>
      </c>
      <c r="C37" s="1" t="n">
        <v>45566</v>
      </c>
      <c r="D37" t="inlineStr">
        <is>
          <t>VÄSTMANLANDS LÄN</t>
        </is>
      </c>
      <c r="E37" t="inlineStr">
        <is>
          <t>SURAHAMMAR</t>
        </is>
      </c>
      <c r="F37" t="inlineStr">
        <is>
          <t>Allmännings- och besparingsskogar</t>
        </is>
      </c>
      <c r="G37" t="n">
        <v>11.8</v>
      </c>
      <c r="H37" t="n">
        <v>0</v>
      </c>
      <c r="I37" t="n">
        <v>2</v>
      </c>
      <c r="J37" t="n">
        <v>1</v>
      </c>
      <c r="K37" t="n">
        <v>0</v>
      </c>
      <c r="L37" t="n">
        <v>0</v>
      </c>
      <c r="M37" t="n">
        <v>0</v>
      </c>
      <c r="N37" t="n">
        <v>0</v>
      </c>
      <c r="O37" t="n">
        <v>1</v>
      </c>
      <c r="P37" t="n">
        <v>0</v>
      </c>
      <c r="Q37" t="n">
        <v>3</v>
      </c>
      <c r="R37" s="2" t="inlineStr">
        <is>
          <t>Svinrot
Blodticka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49718-2023</t>
        </is>
      </c>
      <c r="B38" s="1" t="n">
        <v>45212</v>
      </c>
      <c r="C38" s="1" t="n">
        <v>45566</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65024-2023</t>
        </is>
      </c>
      <c r="B39" s="1" t="n">
        <v>45282</v>
      </c>
      <c r="C39" s="1" t="n">
        <v>45566</v>
      </c>
      <c r="D39" t="inlineStr">
        <is>
          <t>VÄSTMANLANDS LÄN</t>
        </is>
      </c>
      <c r="E39" t="inlineStr">
        <is>
          <t>SURAHAMMAR</t>
        </is>
      </c>
      <c r="F39" t="inlineStr">
        <is>
          <t>Bergvik skog väst AB</t>
        </is>
      </c>
      <c r="G39" t="n">
        <v>14.9</v>
      </c>
      <c r="H39" t="n">
        <v>1</v>
      </c>
      <c r="I39" t="n">
        <v>1</v>
      </c>
      <c r="J39" t="n">
        <v>2</v>
      </c>
      <c r="K39" t="n">
        <v>0</v>
      </c>
      <c r="L39" t="n">
        <v>0</v>
      </c>
      <c r="M39" t="n">
        <v>0</v>
      </c>
      <c r="N39" t="n">
        <v>0</v>
      </c>
      <c r="O39" t="n">
        <v>2</v>
      </c>
      <c r="P39" t="n">
        <v>0</v>
      </c>
      <c r="Q39" t="n">
        <v>3</v>
      </c>
      <c r="R39" s="2" t="inlineStr">
        <is>
          <t>Gropticka
Talltita
Blodticka</t>
        </is>
      </c>
      <c r="S39">
        <f>HYPERLINK("https://klasma.github.io/Logging_1907/artfynd/A 65024-2023 artfynd.xlsx", "A 65024-2023")</f>
        <v/>
      </c>
      <c r="T39">
        <f>HYPERLINK("https://klasma.github.io/Logging_1907/kartor/A 65024-2023 karta.png", "A 65024-2023")</f>
        <v/>
      </c>
      <c r="V39">
        <f>HYPERLINK("https://klasma.github.io/Logging_1907/klagomål/A 65024-2023 FSC-klagomål.docx", "A 65024-2023")</f>
        <v/>
      </c>
      <c r="W39">
        <f>HYPERLINK("https://klasma.github.io/Logging_1907/klagomålsmail/A 65024-2023 FSC-klagomål mail.docx", "A 65024-2023")</f>
        <v/>
      </c>
      <c r="X39">
        <f>HYPERLINK("https://klasma.github.io/Logging_1907/tillsyn/A 65024-2023 tillsynsbegäran.docx", "A 65024-2023")</f>
        <v/>
      </c>
      <c r="Y39">
        <f>HYPERLINK("https://klasma.github.io/Logging_1907/tillsynsmail/A 65024-2023 tillsynsbegäran mail.docx", "A 65024-2023")</f>
        <v/>
      </c>
      <c r="Z39">
        <f>HYPERLINK("https://klasma.github.io/Logging_1907/fåglar/A 65024-2023 prioriterade fågelarter.docx", "A 65024-2023")</f>
        <v/>
      </c>
    </row>
    <row r="40" ht="15" customHeight="1">
      <c r="A40" t="inlineStr">
        <is>
          <t>A 20391-2024</t>
        </is>
      </c>
      <c r="B40" s="1" t="n">
        <v>45435</v>
      </c>
      <c r="C40" s="1" t="n">
        <v>45566</v>
      </c>
      <c r="D40" t="inlineStr">
        <is>
          <t>VÄSTMANLANDS LÄN</t>
        </is>
      </c>
      <c r="E40" t="inlineStr">
        <is>
          <t>SURAHAMMAR</t>
        </is>
      </c>
      <c r="G40" t="n">
        <v>1.5</v>
      </c>
      <c r="H40" t="n">
        <v>0</v>
      </c>
      <c r="I40" t="n">
        <v>2</v>
      </c>
      <c r="J40" t="n">
        <v>1</v>
      </c>
      <c r="K40" t="n">
        <v>0</v>
      </c>
      <c r="L40" t="n">
        <v>0</v>
      </c>
      <c r="M40" t="n">
        <v>0</v>
      </c>
      <c r="N40" t="n">
        <v>0</v>
      </c>
      <c r="O40" t="n">
        <v>1</v>
      </c>
      <c r="P40" t="n">
        <v>0</v>
      </c>
      <c r="Q40" t="n">
        <v>3</v>
      </c>
      <c r="R40" s="2" t="inlineStr">
        <is>
          <t>Vedtrappmossa
Kattfotslav
Stubbspretmossa</t>
        </is>
      </c>
      <c r="S40">
        <f>HYPERLINK("https://klasma.github.io/Logging_1907/artfynd/A 20391-2024 artfynd.xlsx", "A 20391-2024")</f>
        <v/>
      </c>
      <c r="T40">
        <f>HYPERLINK("https://klasma.github.io/Logging_1907/kartor/A 20391-2024 karta.png", "A 20391-2024")</f>
        <v/>
      </c>
      <c r="V40">
        <f>HYPERLINK("https://klasma.github.io/Logging_1907/klagomål/A 20391-2024 FSC-klagomål.docx", "A 20391-2024")</f>
        <v/>
      </c>
      <c r="W40">
        <f>HYPERLINK("https://klasma.github.io/Logging_1907/klagomålsmail/A 20391-2024 FSC-klagomål mail.docx", "A 20391-2024")</f>
        <v/>
      </c>
      <c r="X40">
        <f>HYPERLINK("https://klasma.github.io/Logging_1907/tillsyn/A 20391-2024 tillsynsbegäran.docx", "A 20391-2024")</f>
        <v/>
      </c>
      <c r="Y40">
        <f>HYPERLINK("https://klasma.github.io/Logging_1907/tillsynsmail/A 20391-2024 tillsynsbegäran mail.docx", "A 20391-2024")</f>
        <v/>
      </c>
    </row>
    <row r="41" ht="15" customHeight="1">
      <c r="A41" t="inlineStr">
        <is>
          <t>A 24561-2024</t>
        </is>
      </c>
      <c r="B41" s="1" t="n">
        <v>45460</v>
      </c>
      <c r="C41" s="1" t="n">
        <v>45566</v>
      </c>
      <c r="D41" t="inlineStr">
        <is>
          <t>VÄSTMANLANDS LÄN</t>
        </is>
      </c>
      <c r="E41" t="inlineStr">
        <is>
          <t>SURAHAMMAR</t>
        </is>
      </c>
      <c r="G41" t="n">
        <v>2.6</v>
      </c>
      <c r="H41" t="n">
        <v>2</v>
      </c>
      <c r="I41" t="n">
        <v>1</v>
      </c>
      <c r="J41" t="n">
        <v>0</v>
      </c>
      <c r="K41" t="n">
        <v>1</v>
      </c>
      <c r="L41" t="n">
        <v>0</v>
      </c>
      <c r="M41" t="n">
        <v>0</v>
      </c>
      <c r="N41" t="n">
        <v>0</v>
      </c>
      <c r="O41" t="n">
        <v>1</v>
      </c>
      <c r="P41" t="n">
        <v>1</v>
      </c>
      <c r="Q41" t="n">
        <v>3</v>
      </c>
      <c r="R41" s="2" t="inlineStr">
        <is>
          <t>Knärot
Grönpyrola
Revlummer</t>
        </is>
      </c>
      <c r="S41">
        <f>HYPERLINK("https://klasma.github.io/Logging_1907/artfynd/A 24561-2024 artfynd.xlsx", "A 24561-2024")</f>
        <v/>
      </c>
      <c r="T41">
        <f>HYPERLINK("https://klasma.github.io/Logging_1907/kartor/A 24561-2024 karta.png", "A 24561-2024")</f>
        <v/>
      </c>
      <c r="U41">
        <f>HYPERLINK("https://klasma.github.io/Logging_1907/knärot/A 24561-2024 karta knärot.png", "A 24561-2024")</f>
        <v/>
      </c>
      <c r="V41">
        <f>HYPERLINK("https://klasma.github.io/Logging_1907/klagomål/A 24561-2024 FSC-klagomål.docx", "A 24561-2024")</f>
        <v/>
      </c>
      <c r="W41">
        <f>HYPERLINK("https://klasma.github.io/Logging_1907/klagomålsmail/A 24561-2024 FSC-klagomål mail.docx", "A 24561-2024")</f>
        <v/>
      </c>
      <c r="X41">
        <f>HYPERLINK("https://klasma.github.io/Logging_1907/tillsyn/A 24561-2024 tillsynsbegäran.docx", "A 24561-2024")</f>
        <v/>
      </c>
      <c r="Y41">
        <f>HYPERLINK("https://klasma.github.io/Logging_1907/tillsynsmail/A 24561-2024 tillsynsbegäran mail.docx", "A 24561-2024")</f>
        <v/>
      </c>
    </row>
    <row r="42" ht="15" customHeight="1">
      <c r="A42" t="inlineStr">
        <is>
          <t>A 25548-2024</t>
        </is>
      </c>
      <c r="B42" s="1" t="n">
        <v>45463</v>
      </c>
      <c r="C42" s="1" t="n">
        <v>45566</v>
      </c>
      <c r="D42" t="inlineStr">
        <is>
          <t>VÄSTMANLANDS LÄN</t>
        </is>
      </c>
      <c r="E42" t="inlineStr">
        <is>
          <t>SURAHAMMAR</t>
        </is>
      </c>
      <c r="F42" t="inlineStr">
        <is>
          <t>Bergvik skog väst AB</t>
        </is>
      </c>
      <c r="G42" t="n">
        <v>5.1</v>
      </c>
      <c r="H42" t="n">
        <v>2</v>
      </c>
      <c r="I42" t="n">
        <v>1</v>
      </c>
      <c r="J42" t="n">
        <v>0</v>
      </c>
      <c r="K42" t="n">
        <v>1</v>
      </c>
      <c r="L42" t="n">
        <v>0</v>
      </c>
      <c r="M42" t="n">
        <v>0</v>
      </c>
      <c r="N42" t="n">
        <v>0</v>
      </c>
      <c r="O42" t="n">
        <v>1</v>
      </c>
      <c r="P42" t="n">
        <v>1</v>
      </c>
      <c r="Q42" t="n">
        <v>3</v>
      </c>
      <c r="R42" s="2" t="inlineStr">
        <is>
          <t>Knärot
Vedticka
Fläcknycklar</t>
        </is>
      </c>
      <c r="S42">
        <f>HYPERLINK("https://klasma.github.io/Logging_1907/artfynd/A 25548-2024 artfynd.xlsx", "A 25548-2024")</f>
        <v/>
      </c>
      <c r="T42">
        <f>HYPERLINK("https://klasma.github.io/Logging_1907/kartor/A 25548-2024 karta.png", "A 25548-2024")</f>
        <v/>
      </c>
      <c r="U42">
        <f>HYPERLINK("https://klasma.github.io/Logging_1907/knärot/A 25548-2024 karta knärot.png", "A 25548-2024")</f>
        <v/>
      </c>
      <c r="V42">
        <f>HYPERLINK("https://klasma.github.io/Logging_1907/klagomål/A 25548-2024 FSC-klagomål.docx", "A 25548-2024")</f>
        <v/>
      </c>
      <c r="W42">
        <f>HYPERLINK("https://klasma.github.io/Logging_1907/klagomålsmail/A 25548-2024 FSC-klagomål mail.docx", "A 25548-2024")</f>
        <v/>
      </c>
      <c r="X42">
        <f>HYPERLINK("https://klasma.github.io/Logging_1907/tillsyn/A 25548-2024 tillsynsbegäran.docx", "A 25548-2024")</f>
        <v/>
      </c>
      <c r="Y42">
        <f>HYPERLINK("https://klasma.github.io/Logging_1907/tillsynsmail/A 25548-2024 tillsynsbegäran mail.docx", "A 25548-2024")</f>
        <v/>
      </c>
    </row>
    <row r="43" ht="15" customHeight="1">
      <c r="A43" t="inlineStr">
        <is>
          <t>A 33094-2024</t>
        </is>
      </c>
      <c r="B43" s="1" t="n">
        <v>45517</v>
      </c>
      <c r="C43" s="1" t="n">
        <v>45566</v>
      </c>
      <c r="D43" t="inlineStr">
        <is>
          <t>VÄSTMANLANDS LÄN</t>
        </is>
      </c>
      <c r="E43" t="inlineStr">
        <is>
          <t>SURAHAMMAR</t>
        </is>
      </c>
      <c r="G43" t="n">
        <v>6.3</v>
      </c>
      <c r="H43" t="n">
        <v>1</v>
      </c>
      <c r="I43" t="n">
        <v>0</v>
      </c>
      <c r="J43" t="n">
        <v>2</v>
      </c>
      <c r="K43" t="n">
        <v>0</v>
      </c>
      <c r="L43" t="n">
        <v>0</v>
      </c>
      <c r="M43" t="n">
        <v>0</v>
      </c>
      <c r="N43" t="n">
        <v>0</v>
      </c>
      <c r="O43" t="n">
        <v>2</v>
      </c>
      <c r="P43" t="n">
        <v>0</v>
      </c>
      <c r="Q43" t="n">
        <v>3</v>
      </c>
      <c r="R43" s="2" t="inlineStr">
        <is>
          <t>Svinrot
Vippärt
Revlummer</t>
        </is>
      </c>
      <c r="S43">
        <f>HYPERLINK("https://klasma.github.io/Logging_1907/artfynd/A 33094-2024 artfynd.xlsx", "A 33094-2024")</f>
        <v/>
      </c>
      <c r="T43">
        <f>HYPERLINK("https://klasma.github.io/Logging_1907/kartor/A 33094-2024 karta.png", "A 33094-2024")</f>
        <v/>
      </c>
      <c r="V43">
        <f>HYPERLINK("https://klasma.github.io/Logging_1907/klagomål/A 33094-2024 FSC-klagomål.docx", "A 33094-2024")</f>
        <v/>
      </c>
      <c r="W43">
        <f>HYPERLINK("https://klasma.github.io/Logging_1907/klagomålsmail/A 33094-2024 FSC-klagomål mail.docx", "A 33094-2024")</f>
        <v/>
      </c>
      <c r="X43">
        <f>HYPERLINK("https://klasma.github.io/Logging_1907/tillsyn/A 33094-2024 tillsynsbegäran.docx", "A 33094-2024")</f>
        <v/>
      </c>
      <c r="Y43">
        <f>HYPERLINK("https://klasma.github.io/Logging_1907/tillsynsmail/A 33094-2024 tillsynsbegäran mail.docx", "A 33094-2024")</f>
        <v/>
      </c>
    </row>
    <row r="44" ht="15" customHeight="1">
      <c r="A44" t="inlineStr">
        <is>
          <t>A 34040-2024</t>
        </is>
      </c>
      <c r="B44" s="1" t="n">
        <v>45523</v>
      </c>
      <c r="C44" s="1" t="n">
        <v>45566</v>
      </c>
      <c r="D44" t="inlineStr">
        <is>
          <t>VÄSTMANLANDS LÄN</t>
        </is>
      </c>
      <c r="E44" t="inlineStr">
        <is>
          <t>SURAHAMMAR</t>
        </is>
      </c>
      <c r="F44" t="inlineStr">
        <is>
          <t>Övriga Aktiebolag</t>
        </is>
      </c>
      <c r="G44" t="n">
        <v>6.4</v>
      </c>
      <c r="H44" t="n">
        <v>1</v>
      </c>
      <c r="I44" t="n">
        <v>1</v>
      </c>
      <c r="J44" t="n">
        <v>1</v>
      </c>
      <c r="K44" t="n">
        <v>1</v>
      </c>
      <c r="L44" t="n">
        <v>0</v>
      </c>
      <c r="M44" t="n">
        <v>0</v>
      </c>
      <c r="N44" t="n">
        <v>0</v>
      </c>
      <c r="O44" t="n">
        <v>2</v>
      </c>
      <c r="P44" t="n">
        <v>1</v>
      </c>
      <c r="Q44" t="n">
        <v>3</v>
      </c>
      <c r="R44" s="2" t="inlineStr">
        <is>
          <t>Knärot
Ullticka
Bronshjon</t>
        </is>
      </c>
      <c r="S44">
        <f>HYPERLINK("https://klasma.github.io/Logging_1907/artfynd/A 34040-2024 artfynd.xlsx", "A 34040-2024")</f>
        <v/>
      </c>
      <c r="T44">
        <f>HYPERLINK("https://klasma.github.io/Logging_1907/kartor/A 34040-2024 karta.png", "A 34040-2024")</f>
        <v/>
      </c>
      <c r="U44">
        <f>HYPERLINK("https://klasma.github.io/Logging_1907/knärot/A 34040-2024 karta knärot.png", "A 34040-2024")</f>
        <v/>
      </c>
      <c r="V44">
        <f>HYPERLINK("https://klasma.github.io/Logging_1907/klagomål/A 34040-2024 FSC-klagomål.docx", "A 34040-2024")</f>
        <v/>
      </c>
      <c r="W44">
        <f>HYPERLINK("https://klasma.github.io/Logging_1907/klagomålsmail/A 34040-2024 FSC-klagomål mail.docx", "A 34040-2024")</f>
        <v/>
      </c>
      <c r="X44">
        <f>HYPERLINK("https://klasma.github.io/Logging_1907/tillsyn/A 34040-2024 tillsynsbegäran.docx", "A 34040-2024")</f>
        <v/>
      </c>
      <c r="Y44">
        <f>HYPERLINK("https://klasma.github.io/Logging_1907/tillsynsmail/A 34040-2024 tillsynsbegäran mail.docx", "A 34040-2024")</f>
        <v/>
      </c>
    </row>
    <row r="45" ht="15" customHeight="1">
      <c r="A45" t="inlineStr">
        <is>
          <t>A 43169-2020</t>
        </is>
      </c>
      <c r="B45" s="1" t="n">
        <v>44081</v>
      </c>
      <c r="C45" s="1" t="n">
        <v>45566</v>
      </c>
      <c r="D45" t="inlineStr">
        <is>
          <t>VÄSTMANLANDS LÄN</t>
        </is>
      </c>
      <c r="E45" t="inlineStr">
        <is>
          <t>SURAHAMMAR</t>
        </is>
      </c>
      <c r="F45" t="inlineStr">
        <is>
          <t>Sveaskog</t>
        </is>
      </c>
      <c r="G45" t="n">
        <v>6.4</v>
      </c>
      <c r="H45" t="n">
        <v>0</v>
      </c>
      <c r="I45" t="n">
        <v>0</v>
      </c>
      <c r="J45" t="n">
        <v>1</v>
      </c>
      <c r="K45" t="n">
        <v>1</v>
      </c>
      <c r="L45" t="n">
        <v>0</v>
      </c>
      <c r="M45" t="n">
        <v>0</v>
      </c>
      <c r="N45" t="n">
        <v>0</v>
      </c>
      <c r="O45" t="n">
        <v>2</v>
      </c>
      <c r="P45" t="n">
        <v>1</v>
      </c>
      <c r="Q45" t="n">
        <v>2</v>
      </c>
      <c r="R45" s="2" t="inlineStr">
        <is>
          <t>Hängticka
Kandelabersvamp</t>
        </is>
      </c>
      <c r="S45">
        <f>HYPERLINK("https://klasma.github.io/Logging_1907/artfynd/A 43169-2020 artfynd.xlsx", "A 43169-2020")</f>
        <v/>
      </c>
      <c r="T45">
        <f>HYPERLINK("https://klasma.github.io/Logging_1907/kartor/A 43169-2020 karta.png", "A 43169-2020")</f>
        <v/>
      </c>
      <c r="V45">
        <f>HYPERLINK("https://klasma.github.io/Logging_1907/klagomål/A 43169-2020 FSC-klagomål.docx", "A 43169-2020")</f>
        <v/>
      </c>
      <c r="W45">
        <f>HYPERLINK("https://klasma.github.io/Logging_1907/klagomålsmail/A 43169-2020 FSC-klagomål mail.docx", "A 43169-2020")</f>
        <v/>
      </c>
      <c r="X45">
        <f>HYPERLINK("https://klasma.github.io/Logging_1907/tillsyn/A 43169-2020 tillsynsbegäran.docx", "A 43169-2020")</f>
        <v/>
      </c>
      <c r="Y45">
        <f>HYPERLINK("https://klasma.github.io/Logging_1907/tillsynsmail/A 43169-2020 tillsynsbegäran mail.docx", "A 43169-2020")</f>
        <v/>
      </c>
    </row>
    <row r="46" ht="15" customHeight="1">
      <c r="A46" t="inlineStr">
        <is>
          <t>A 18717-2021</t>
        </is>
      </c>
      <c r="B46" s="1" t="n">
        <v>44306</v>
      </c>
      <c r="C46" s="1" t="n">
        <v>45566</v>
      </c>
      <c r="D46" t="inlineStr">
        <is>
          <t>VÄSTMANLANDS LÄN</t>
        </is>
      </c>
      <c r="E46" t="inlineStr">
        <is>
          <t>SURAHAMMAR</t>
        </is>
      </c>
      <c r="F46" t="inlineStr">
        <is>
          <t>Bergvik skog väst AB</t>
        </is>
      </c>
      <c r="G46" t="n">
        <v>18</v>
      </c>
      <c r="H46" t="n">
        <v>2</v>
      </c>
      <c r="I46" t="n">
        <v>0</v>
      </c>
      <c r="J46" t="n">
        <v>0</v>
      </c>
      <c r="K46" t="n">
        <v>0</v>
      </c>
      <c r="L46" t="n">
        <v>0</v>
      </c>
      <c r="M46" t="n">
        <v>0</v>
      </c>
      <c r="N46" t="n">
        <v>0</v>
      </c>
      <c r="O46" t="n">
        <v>0</v>
      </c>
      <c r="P46" t="n">
        <v>0</v>
      </c>
      <c r="Q46" t="n">
        <v>2</v>
      </c>
      <c r="R46" s="2" t="inlineStr">
        <is>
          <t>Lopplummer
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21825-2021</t>
        </is>
      </c>
      <c r="B47" s="1" t="n">
        <v>44322</v>
      </c>
      <c r="C47" s="1" t="n">
        <v>45566</v>
      </c>
      <c r="D47" t="inlineStr">
        <is>
          <t>VÄSTMANLANDS LÄN</t>
        </is>
      </c>
      <c r="E47" t="inlineStr">
        <is>
          <t>SURAHAMMAR</t>
        </is>
      </c>
      <c r="G47" t="n">
        <v>4.7</v>
      </c>
      <c r="H47" t="n">
        <v>1</v>
      </c>
      <c r="I47" t="n">
        <v>0</v>
      </c>
      <c r="J47" t="n">
        <v>1</v>
      </c>
      <c r="K47" t="n">
        <v>0</v>
      </c>
      <c r="L47" t="n">
        <v>0</v>
      </c>
      <c r="M47" t="n">
        <v>0</v>
      </c>
      <c r="N47" t="n">
        <v>0</v>
      </c>
      <c r="O47" t="n">
        <v>1</v>
      </c>
      <c r="P47" t="n">
        <v>0</v>
      </c>
      <c r="Q47" t="n">
        <v>2</v>
      </c>
      <c r="R47" s="2" t="inlineStr">
        <is>
          <t>Svinrot
Blåsippa</t>
        </is>
      </c>
      <c r="S47">
        <f>HYPERLINK("https://klasma.github.io/Logging_1907/artfynd/A 21825-2021 artfynd.xlsx", "A 21825-2021")</f>
        <v/>
      </c>
      <c r="T47">
        <f>HYPERLINK("https://klasma.github.io/Logging_1907/kartor/A 21825-2021 karta.png", "A 21825-2021")</f>
        <v/>
      </c>
      <c r="V47">
        <f>HYPERLINK("https://klasma.github.io/Logging_1907/klagomål/A 21825-2021 FSC-klagomål.docx", "A 21825-2021")</f>
        <v/>
      </c>
      <c r="W47">
        <f>HYPERLINK("https://klasma.github.io/Logging_1907/klagomålsmail/A 21825-2021 FSC-klagomål mail.docx", "A 21825-2021")</f>
        <v/>
      </c>
      <c r="X47">
        <f>HYPERLINK("https://klasma.github.io/Logging_1907/tillsyn/A 21825-2021 tillsynsbegäran.docx", "A 21825-2021")</f>
        <v/>
      </c>
      <c r="Y47">
        <f>HYPERLINK("https://klasma.github.io/Logging_1907/tillsynsmail/A 21825-2021 tillsynsbegäran mail.docx", "A 21825-2021")</f>
        <v/>
      </c>
    </row>
    <row r="48" ht="15" customHeight="1">
      <c r="A48" t="inlineStr">
        <is>
          <t>A 37801-2021</t>
        </is>
      </c>
      <c r="B48" s="1" t="n">
        <v>44402</v>
      </c>
      <c r="C48" s="1" t="n">
        <v>45566</v>
      </c>
      <c r="D48" t="inlineStr">
        <is>
          <t>VÄSTMANLANDS LÄN</t>
        </is>
      </c>
      <c r="E48" t="inlineStr">
        <is>
          <t>SURAHAMMAR</t>
        </is>
      </c>
      <c r="F48" t="inlineStr">
        <is>
          <t>Kommuner</t>
        </is>
      </c>
      <c r="G48" t="n">
        <v>2.3</v>
      </c>
      <c r="H48" t="n">
        <v>1</v>
      </c>
      <c r="I48" t="n">
        <v>0</v>
      </c>
      <c r="J48" t="n">
        <v>1</v>
      </c>
      <c r="K48" t="n">
        <v>0</v>
      </c>
      <c r="L48" t="n">
        <v>0</v>
      </c>
      <c r="M48" t="n">
        <v>0</v>
      </c>
      <c r="N48" t="n">
        <v>0</v>
      </c>
      <c r="O48" t="n">
        <v>1</v>
      </c>
      <c r="P48" t="n">
        <v>0</v>
      </c>
      <c r="Q48" t="n">
        <v>2</v>
      </c>
      <c r="R48" s="2" t="inlineStr">
        <is>
          <t>Veckticka
Nattviol</t>
        </is>
      </c>
      <c r="S48">
        <f>HYPERLINK("https://klasma.github.io/Logging_1907/artfynd/A 37801-2021 artfynd.xlsx", "A 37801-2021")</f>
        <v/>
      </c>
      <c r="T48">
        <f>HYPERLINK("https://klasma.github.io/Logging_1907/kartor/A 37801-2021 karta.png", "A 37801-2021")</f>
        <v/>
      </c>
      <c r="V48">
        <f>HYPERLINK("https://klasma.github.io/Logging_1907/klagomål/A 37801-2021 FSC-klagomål.docx", "A 37801-2021")</f>
        <v/>
      </c>
      <c r="W48">
        <f>HYPERLINK("https://klasma.github.io/Logging_1907/klagomålsmail/A 37801-2021 FSC-klagomål mail.docx", "A 37801-2021")</f>
        <v/>
      </c>
      <c r="X48">
        <f>HYPERLINK("https://klasma.github.io/Logging_1907/tillsyn/A 37801-2021 tillsynsbegäran.docx", "A 37801-2021")</f>
        <v/>
      </c>
      <c r="Y48">
        <f>HYPERLINK("https://klasma.github.io/Logging_1907/tillsynsmail/A 37801-2021 tillsynsbegäran mail.docx", "A 37801-2021")</f>
        <v/>
      </c>
    </row>
    <row r="49" ht="15" customHeight="1">
      <c r="A49" t="inlineStr">
        <is>
          <t>A 37800-2021</t>
        </is>
      </c>
      <c r="B49" s="1" t="n">
        <v>44402</v>
      </c>
      <c r="C49" s="1" t="n">
        <v>45566</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57168-2021</t>
        </is>
      </c>
      <c r="B50" s="1" t="n">
        <v>44482</v>
      </c>
      <c r="C50" s="1" t="n">
        <v>45566</v>
      </c>
      <c r="D50" t="inlineStr">
        <is>
          <t>VÄSTMANLANDS LÄN</t>
        </is>
      </c>
      <c r="E50" t="inlineStr">
        <is>
          <t>SURAHAMMAR</t>
        </is>
      </c>
      <c r="G50" t="n">
        <v>1.7</v>
      </c>
      <c r="H50" t="n">
        <v>0</v>
      </c>
      <c r="I50" t="n">
        <v>0</v>
      </c>
      <c r="J50" t="n">
        <v>1</v>
      </c>
      <c r="K50" t="n">
        <v>0</v>
      </c>
      <c r="L50" t="n">
        <v>1</v>
      </c>
      <c r="M50" t="n">
        <v>0</v>
      </c>
      <c r="N50" t="n">
        <v>0</v>
      </c>
      <c r="O50" t="n">
        <v>2</v>
      </c>
      <c r="P50" t="n">
        <v>1</v>
      </c>
      <c r="Q50" t="n">
        <v>2</v>
      </c>
      <c r="R50" s="2" t="inlineStr">
        <is>
          <t>Ask
Svartöra</t>
        </is>
      </c>
      <c r="S50">
        <f>HYPERLINK("https://klasma.github.io/Logging_1907/artfynd/A 57168-2021 artfynd.xlsx", "A 57168-2021")</f>
        <v/>
      </c>
      <c r="T50">
        <f>HYPERLINK("https://klasma.github.io/Logging_1907/kartor/A 57168-2021 karta.png", "A 57168-2021")</f>
        <v/>
      </c>
      <c r="V50">
        <f>HYPERLINK("https://klasma.github.io/Logging_1907/klagomål/A 57168-2021 FSC-klagomål.docx", "A 57168-2021")</f>
        <v/>
      </c>
      <c r="W50">
        <f>HYPERLINK("https://klasma.github.io/Logging_1907/klagomålsmail/A 57168-2021 FSC-klagomål mail.docx", "A 57168-2021")</f>
        <v/>
      </c>
      <c r="X50">
        <f>HYPERLINK("https://klasma.github.io/Logging_1907/tillsyn/A 57168-2021 tillsynsbegäran.docx", "A 57168-2021")</f>
        <v/>
      </c>
      <c r="Y50">
        <f>HYPERLINK("https://klasma.github.io/Logging_1907/tillsynsmail/A 57168-2021 tillsynsbegäran mail.docx", "A 57168-2021")</f>
        <v/>
      </c>
    </row>
    <row r="51" ht="15" customHeight="1">
      <c r="A51" t="inlineStr">
        <is>
          <t>A 66343-2021</t>
        </is>
      </c>
      <c r="B51" s="1" t="n">
        <v>44518</v>
      </c>
      <c r="C51" s="1" t="n">
        <v>45566</v>
      </c>
      <c r="D51" t="inlineStr">
        <is>
          <t>VÄSTMANLANDS LÄN</t>
        </is>
      </c>
      <c r="E51" t="inlineStr">
        <is>
          <t>SURAHAMMAR</t>
        </is>
      </c>
      <c r="F51" t="inlineStr">
        <is>
          <t>Sveaskog</t>
        </is>
      </c>
      <c r="G51" t="n">
        <v>2.5</v>
      </c>
      <c r="H51" t="n">
        <v>0</v>
      </c>
      <c r="I51" t="n">
        <v>1</v>
      </c>
      <c r="J51" t="n">
        <v>0</v>
      </c>
      <c r="K51" t="n">
        <v>1</v>
      </c>
      <c r="L51" t="n">
        <v>0</v>
      </c>
      <c r="M51" t="n">
        <v>0</v>
      </c>
      <c r="N51" t="n">
        <v>0</v>
      </c>
      <c r="O51" t="n">
        <v>1</v>
      </c>
      <c r="P51" t="n">
        <v>1</v>
      </c>
      <c r="Q51" t="n">
        <v>2</v>
      </c>
      <c r="R51" s="2" t="inlineStr">
        <is>
          <t>Torrmusseron
Blåmossa</t>
        </is>
      </c>
      <c r="S51">
        <f>HYPERLINK("https://klasma.github.io/Logging_1907/artfynd/A 66343-2021 artfynd.xlsx", "A 66343-2021")</f>
        <v/>
      </c>
      <c r="T51">
        <f>HYPERLINK("https://klasma.github.io/Logging_1907/kartor/A 66343-2021 karta.png", "A 66343-2021")</f>
        <v/>
      </c>
      <c r="V51">
        <f>HYPERLINK("https://klasma.github.io/Logging_1907/klagomål/A 66343-2021 FSC-klagomål.docx", "A 66343-2021")</f>
        <v/>
      </c>
      <c r="W51">
        <f>HYPERLINK("https://klasma.github.io/Logging_1907/klagomålsmail/A 66343-2021 FSC-klagomål mail.docx", "A 66343-2021")</f>
        <v/>
      </c>
      <c r="X51">
        <f>HYPERLINK("https://klasma.github.io/Logging_1907/tillsyn/A 66343-2021 tillsynsbegäran.docx", "A 66343-2021")</f>
        <v/>
      </c>
      <c r="Y51">
        <f>HYPERLINK("https://klasma.github.io/Logging_1907/tillsynsmail/A 66343-2021 tillsynsbegäran mail.docx", "A 66343-2021")</f>
        <v/>
      </c>
    </row>
    <row r="52" ht="15" customHeight="1">
      <c r="A52" t="inlineStr">
        <is>
          <t>A 7845-2022</t>
        </is>
      </c>
      <c r="B52" s="1" t="n">
        <v>44608</v>
      </c>
      <c r="C52" s="1" t="n">
        <v>45566</v>
      </c>
      <c r="D52" t="inlineStr">
        <is>
          <t>VÄSTMANLANDS LÄN</t>
        </is>
      </c>
      <c r="E52" t="inlineStr">
        <is>
          <t>SURAHAMMAR</t>
        </is>
      </c>
      <c r="G52" t="n">
        <v>3</v>
      </c>
      <c r="H52" t="n">
        <v>1</v>
      </c>
      <c r="I52" t="n">
        <v>1</v>
      </c>
      <c r="J52" t="n">
        <v>0</v>
      </c>
      <c r="K52" t="n">
        <v>1</v>
      </c>
      <c r="L52" t="n">
        <v>0</v>
      </c>
      <c r="M52" t="n">
        <v>0</v>
      </c>
      <c r="N52" t="n">
        <v>0</v>
      </c>
      <c r="O52" t="n">
        <v>1</v>
      </c>
      <c r="P52" t="n">
        <v>1</v>
      </c>
      <c r="Q52" t="n">
        <v>2</v>
      </c>
      <c r="R52" s="2" t="inlineStr">
        <is>
          <t>Knärot
Vedticka</t>
        </is>
      </c>
      <c r="S52">
        <f>HYPERLINK("https://klasma.github.io/Logging_1907/artfynd/A 7845-2022 artfynd.xlsx", "A 7845-2022")</f>
        <v/>
      </c>
      <c r="T52">
        <f>HYPERLINK("https://klasma.github.io/Logging_1907/kartor/A 7845-2022 karta.png", "A 7845-2022")</f>
        <v/>
      </c>
      <c r="U52">
        <f>HYPERLINK("https://klasma.github.io/Logging_1907/knärot/A 7845-2022 karta knärot.png", "A 7845-2022")</f>
        <v/>
      </c>
      <c r="V52">
        <f>HYPERLINK("https://klasma.github.io/Logging_1907/klagomål/A 7845-2022 FSC-klagomål.docx", "A 7845-2022")</f>
        <v/>
      </c>
      <c r="W52">
        <f>HYPERLINK("https://klasma.github.io/Logging_1907/klagomålsmail/A 7845-2022 FSC-klagomål mail.docx", "A 7845-2022")</f>
        <v/>
      </c>
      <c r="X52">
        <f>HYPERLINK("https://klasma.github.io/Logging_1907/tillsyn/A 7845-2022 tillsynsbegäran.docx", "A 7845-2022")</f>
        <v/>
      </c>
      <c r="Y52">
        <f>HYPERLINK("https://klasma.github.io/Logging_1907/tillsynsmail/A 7845-2022 tillsynsbegäran mail.docx", "A 7845-2022")</f>
        <v/>
      </c>
    </row>
    <row r="53" ht="15" customHeight="1">
      <c r="A53" t="inlineStr">
        <is>
          <t>A 16217-2023</t>
        </is>
      </c>
      <c r="B53" s="1" t="n">
        <v>45022</v>
      </c>
      <c r="C53" s="1" t="n">
        <v>45566</v>
      </c>
      <c r="D53" t="inlineStr">
        <is>
          <t>VÄSTMANLANDS LÄN</t>
        </is>
      </c>
      <c r="E53" t="inlineStr">
        <is>
          <t>SURAHAMMAR</t>
        </is>
      </c>
      <c r="G53" t="n">
        <v>2.6</v>
      </c>
      <c r="H53" t="n">
        <v>1</v>
      </c>
      <c r="I53" t="n">
        <v>1</v>
      </c>
      <c r="J53" t="n">
        <v>1</v>
      </c>
      <c r="K53" t="n">
        <v>0</v>
      </c>
      <c r="L53" t="n">
        <v>0</v>
      </c>
      <c r="M53" t="n">
        <v>0</v>
      </c>
      <c r="N53" t="n">
        <v>0</v>
      </c>
      <c r="O53" t="n">
        <v>1</v>
      </c>
      <c r="P53" t="n">
        <v>0</v>
      </c>
      <c r="Q53" t="n">
        <v>2</v>
      </c>
      <c r="R53" s="2" t="inlineStr">
        <is>
          <t>Tretåig hackspett
Gullgröppa</t>
        </is>
      </c>
      <c r="S53">
        <f>HYPERLINK("https://klasma.github.io/Logging_1907/artfynd/A 16217-2023 artfynd.xlsx", "A 16217-2023")</f>
        <v/>
      </c>
      <c r="T53">
        <f>HYPERLINK("https://klasma.github.io/Logging_1907/kartor/A 16217-2023 karta.png", "A 16217-2023")</f>
        <v/>
      </c>
      <c r="V53">
        <f>HYPERLINK("https://klasma.github.io/Logging_1907/klagomål/A 16217-2023 FSC-klagomål.docx", "A 16217-2023")</f>
        <v/>
      </c>
      <c r="W53">
        <f>HYPERLINK("https://klasma.github.io/Logging_1907/klagomålsmail/A 16217-2023 FSC-klagomål mail.docx", "A 16217-2023")</f>
        <v/>
      </c>
      <c r="X53">
        <f>HYPERLINK("https://klasma.github.io/Logging_1907/tillsyn/A 16217-2023 tillsynsbegäran.docx", "A 16217-2023")</f>
        <v/>
      </c>
      <c r="Y53">
        <f>HYPERLINK("https://klasma.github.io/Logging_1907/tillsynsmail/A 16217-2023 tillsynsbegäran mail.docx", "A 16217-2023")</f>
        <v/>
      </c>
      <c r="Z53">
        <f>HYPERLINK("https://klasma.github.io/Logging_1907/fåglar/A 16217-2023 prioriterade fågelarter.docx", "A 16217-2023")</f>
        <v/>
      </c>
    </row>
    <row r="54" ht="15" customHeight="1">
      <c r="A54" t="inlineStr">
        <is>
          <t>A 23734-2023</t>
        </is>
      </c>
      <c r="B54" s="1" t="n">
        <v>45077</v>
      </c>
      <c r="C54" s="1" t="n">
        <v>45566</v>
      </c>
      <c r="D54" t="inlineStr">
        <is>
          <t>VÄSTMANLANDS LÄN</t>
        </is>
      </c>
      <c r="E54" t="inlineStr">
        <is>
          <t>SURAHAMMAR</t>
        </is>
      </c>
      <c r="F54" t="inlineStr">
        <is>
          <t>Sveaskog</t>
        </is>
      </c>
      <c r="G54" t="n">
        <v>6.7</v>
      </c>
      <c r="H54" t="n">
        <v>0</v>
      </c>
      <c r="I54" t="n">
        <v>0</v>
      </c>
      <c r="J54" t="n">
        <v>1</v>
      </c>
      <c r="K54" t="n">
        <v>1</v>
      </c>
      <c r="L54" t="n">
        <v>0</v>
      </c>
      <c r="M54" t="n">
        <v>0</v>
      </c>
      <c r="N54" t="n">
        <v>0</v>
      </c>
      <c r="O54" t="n">
        <v>2</v>
      </c>
      <c r="P54" t="n">
        <v>1</v>
      </c>
      <c r="Q54" t="n">
        <v>2</v>
      </c>
      <c r="R54" s="2" t="inlineStr">
        <is>
          <t>Hängticka
Kandelabersvamp</t>
        </is>
      </c>
      <c r="S54">
        <f>HYPERLINK("https://klasma.github.io/Logging_1907/artfynd/A 23734-2023 artfynd.xlsx", "A 23734-2023")</f>
        <v/>
      </c>
      <c r="T54">
        <f>HYPERLINK("https://klasma.github.io/Logging_1907/kartor/A 23734-2023 karta.png", "A 23734-2023")</f>
        <v/>
      </c>
      <c r="V54">
        <f>HYPERLINK("https://klasma.github.io/Logging_1907/klagomål/A 23734-2023 FSC-klagomål.docx", "A 23734-2023")</f>
        <v/>
      </c>
      <c r="W54">
        <f>HYPERLINK("https://klasma.github.io/Logging_1907/klagomålsmail/A 23734-2023 FSC-klagomål mail.docx", "A 23734-2023")</f>
        <v/>
      </c>
      <c r="X54">
        <f>HYPERLINK("https://klasma.github.io/Logging_1907/tillsyn/A 23734-2023 tillsynsbegäran.docx", "A 23734-2023")</f>
        <v/>
      </c>
      <c r="Y54">
        <f>HYPERLINK("https://klasma.github.io/Logging_1907/tillsynsmail/A 23734-2023 tillsynsbegäran mail.docx", "A 23734-2023")</f>
        <v/>
      </c>
    </row>
    <row r="55" ht="15" customHeight="1">
      <c r="A55" t="inlineStr">
        <is>
          <t>A 28043-2023</t>
        </is>
      </c>
      <c r="B55" s="1" t="n">
        <v>45099</v>
      </c>
      <c r="C55" s="1" t="n">
        <v>45566</v>
      </c>
      <c r="D55" t="inlineStr">
        <is>
          <t>VÄSTMANLANDS LÄN</t>
        </is>
      </c>
      <c r="E55" t="inlineStr">
        <is>
          <t>SURAHAMMAR</t>
        </is>
      </c>
      <c r="F55" t="inlineStr">
        <is>
          <t>Allmännings- och besparingsskogar</t>
        </is>
      </c>
      <c r="G55" t="n">
        <v>23.9</v>
      </c>
      <c r="H55" t="n">
        <v>1</v>
      </c>
      <c r="I55" t="n">
        <v>0</v>
      </c>
      <c r="J55" t="n">
        <v>1</v>
      </c>
      <c r="K55" t="n">
        <v>0</v>
      </c>
      <c r="L55" t="n">
        <v>0</v>
      </c>
      <c r="M55" t="n">
        <v>0</v>
      </c>
      <c r="N55" t="n">
        <v>0</v>
      </c>
      <c r="O55" t="n">
        <v>1</v>
      </c>
      <c r="P55" t="n">
        <v>0</v>
      </c>
      <c r="Q55" t="n">
        <v>2</v>
      </c>
      <c r="R55" s="2" t="inlineStr">
        <is>
          <t>Gropticka
Revlummer</t>
        </is>
      </c>
      <c r="S55">
        <f>HYPERLINK("https://klasma.github.io/Logging_1907/artfynd/A 28043-2023 artfynd.xlsx", "A 28043-2023")</f>
        <v/>
      </c>
      <c r="T55">
        <f>HYPERLINK("https://klasma.github.io/Logging_1907/kartor/A 28043-2023 karta.png", "A 28043-2023")</f>
        <v/>
      </c>
      <c r="V55">
        <f>HYPERLINK("https://klasma.github.io/Logging_1907/klagomål/A 28043-2023 FSC-klagomål.docx", "A 28043-2023")</f>
        <v/>
      </c>
      <c r="W55">
        <f>HYPERLINK("https://klasma.github.io/Logging_1907/klagomålsmail/A 28043-2023 FSC-klagomål mail.docx", "A 28043-2023")</f>
        <v/>
      </c>
      <c r="X55">
        <f>HYPERLINK("https://klasma.github.io/Logging_1907/tillsyn/A 28043-2023 tillsynsbegäran.docx", "A 28043-2023")</f>
        <v/>
      </c>
      <c r="Y55">
        <f>HYPERLINK("https://klasma.github.io/Logging_1907/tillsynsmail/A 28043-2023 tillsynsbegäran mail.docx", "A 28043-2023")</f>
        <v/>
      </c>
    </row>
    <row r="56" ht="15" customHeight="1">
      <c r="A56" t="inlineStr">
        <is>
          <t>A 41204-2023</t>
        </is>
      </c>
      <c r="B56" s="1" t="n">
        <v>45174</v>
      </c>
      <c r="C56" s="1" t="n">
        <v>45566</v>
      </c>
      <c r="D56" t="inlineStr">
        <is>
          <t>VÄSTMANLANDS LÄN</t>
        </is>
      </c>
      <c r="E56" t="inlineStr">
        <is>
          <t>SURAHAMMAR</t>
        </is>
      </c>
      <c r="G56" t="n">
        <v>1</v>
      </c>
      <c r="H56" t="n">
        <v>1</v>
      </c>
      <c r="I56" t="n">
        <v>0</v>
      </c>
      <c r="J56" t="n">
        <v>1</v>
      </c>
      <c r="K56" t="n">
        <v>1</v>
      </c>
      <c r="L56" t="n">
        <v>0</v>
      </c>
      <c r="M56" t="n">
        <v>0</v>
      </c>
      <c r="N56" t="n">
        <v>0</v>
      </c>
      <c r="O56" t="n">
        <v>2</v>
      </c>
      <c r="P56" t="n">
        <v>1</v>
      </c>
      <c r="Q56" t="n">
        <v>2</v>
      </c>
      <c r="R56" s="2" t="inlineStr">
        <is>
          <t>Knärot
Vedtrappmossa</t>
        </is>
      </c>
      <c r="S56">
        <f>HYPERLINK("https://klasma.github.io/Logging_1907/artfynd/A 41204-2023 artfynd.xlsx", "A 41204-2023")</f>
        <v/>
      </c>
      <c r="T56">
        <f>HYPERLINK("https://klasma.github.io/Logging_1907/kartor/A 41204-2023 karta.png", "A 41204-2023")</f>
        <v/>
      </c>
      <c r="U56">
        <f>HYPERLINK("https://klasma.github.io/Logging_1907/knärot/A 41204-2023 karta knärot.png", "A 41204-2023")</f>
        <v/>
      </c>
      <c r="V56">
        <f>HYPERLINK("https://klasma.github.io/Logging_1907/klagomål/A 41204-2023 FSC-klagomål.docx", "A 41204-2023")</f>
        <v/>
      </c>
      <c r="W56">
        <f>HYPERLINK("https://klasma.github.io/Logging_1907/klagomålsmail/A 41204-2023 FSC-klagomål mail.docx", "A 41204-2023")</f>
        <v/>
      </c>
      <c r="X56">
        <f>HYPERLINK("https://klasma.github.io/Logging_1907/tillsyn/A 41204-2023 tillsynsbegäran.docx", "A 41204-2023")</f>
        <v/>
      </c>
      <c r="Y56">
        <f>HYPERLINK("https://klasma.github.io/Logging_1907/tillsynsmail/A 41204-2023 tillsynsbegäran mail.docx", "A 41204-2023")</f>
        <v/>
      </c>
    </row>
    <row r="57" ht="15" customHeight="1">
      <c r="A57" t="inlineStr">
        <is>
          <t>A 7796-2024</t>
        </is>
      </c>
      <c r="B57" s="1" t="n">
        <v>45348</v>
      </c>
      <c r="C57" s="1" t="n">
        <v>45566</v>
      </c>
      <c r="D57" t="inlineStr">
        <is>
          <t>VÄSTMANLANDS LÄN</t>
        </is>
      </c>
      <c r="E57" t="inlineStr">
        <is>
          <t>SURAHAMMAR</t>
        </is>
      </c>
      <c r="G57" t="n">
        <v>10.5</v>
      </c>
      <c r="H57" t="n">
        <v>1</v>
      </c>
      <c r="I57" t="n">
        <v>1</v>
      </c>
      <c r="J57" t="n">
        <v>1</v>
      </c>
      <c r="K57" t="n">
        <v>0</v>
      </c>
      <c r="L57" t="n">
        <v>0</v>
      </c>
      <c r="M57" t="n">
        <v>0</v>
      </c>
      <c r="N57" t="n">
        <v>0</v>
      </c>
      <c r="O57" t="n">
        <v>1</v>
      </c>
      <c r="P57" t="n">
        <v>0</v>
      </c>
      <c r="Q57" t="n">
        <v>2</v>
      </c>
      <c r="R57" s="2" t="inlineStr">
        <is>
          <t>Ullticka
Plattlummer</t>
        </is>
      </c>
      <c r="S57">
        <f>HYPERLINK("https://klasma.github.io/Logging_1907/artfynd/A 7796-2024 artfynd.xlsx", "A 7796-2024")</f>
        <v/>
      </c>
      <c r="T57">
        <f>HYPERLINK("https://klasma.github.io/Logging_1907/kartor/A 7796-2024 karta.png", "A 7796-2024")</f>
        <v/>
      </c>
      <c r="V57">
        <f>HYPERLINK("https://klasma.github.io/Logging_1907/klagomål/A 7796-2024 FSC-klagomål.docx", "A 7796-2024")</f>
        <v/>
      </c>
      <c r="W57">
        <f>HYPERLINK("https://klasma.github.io/Logging_1907/klagomålsmail/A 7796-2024 FSC-klagomål mail.docx", "A 7796-2024")</f>
        <v/>
      </c>
      <c r="X57">
        <f>HYPERLINK("https://klasma.github.io/Logging_1907/tillsyn/A 7796-2024 tillsynsbegäran.docx", "A 7796-2024")</f>
        <v/>
      </c>
      <c r="Y57">
        <f>HYPERLINK("https://klasma.github.io/Logging_1907/tillsynsmail/A 7796-2024 tillsynsbegäran mail.docx", "A 7796-2024")</f>
        <v/>
      </c>
    </row>
    <row r="58" ht="15" customHeight="1">
      <c r="A58" t="inlineStr">
        <is>
          <t>A 19120-2024</t>
        </is>
      </c>
      <c r="B58" s="1" t="n">
        <v>45428</v>
      </c>
      <c r="C58" s="1" t="n">
        <v>45566</v>
      </c>
      <c r="D58" t="inlineStr">
        <is>
          <t>VÄSTMANLANDS LÄN</t>
        </is>
      </c>
      <c r="E58" t="inlineStr">
        <is>
          <t>SURAHAMMAR</t>
        </is>
      </c>
      <c r="F58" t="inlineStr">
        <is>
          <t>Allmännings- och besparingsskogar</t>
        </is>
      </c>
      <c r="G58" t="n">
        <v>17.5</v>
      </c>
      <c r="H58" t="n">
        <v>0</v>
      </c>
      <c r="I58" t="n">
        <v>1</v>
      </c>
      <c r="J58" t="n">
        <v>1</v>
      </c>
      <c r="K58" t="n">
        <v>0</v>
      </c>
      <c r="L58" t="n">
        <v>0</v>
      </c>
      <c r="M58" t="n">
        <v>0</v>
      </c>
      <c r="N58" t="n">
        <v>0</v>
      </c>
      <c r="O58" t="n">
        <v>1</v>
      </c>
      <c r="P58" t="n">
        <v>0</v>
      </c>
      <c r="Q58" t="n">
        <v>2</v>
      </c>
      <c r="R58" s="2" t="inlineStr">
        <is>
          <t>Tallticka
Vedticka</t>
        </is>
      </c>
      <c r="S58">
        <f>HYPERLINK("https://klasma.github.io/Logging_1907/artfynd/A 19120-2024 artfynd.xlsx", "A 19120-2024")</f>
        <v/>
      </c>
      <c r="T58">
        <f>HYPERLINK("https://klasma.github.io/Logging_1907/kartor/A 19120-2024 karta.png", "A 19120-2024")</f>
        <v/>
      </c>
      <c r="V58">
        <f>HYPERLINK("https://klasma.github.io/Logging_1907/klagomål/A 19120-2024 FSC-klagomål.docx", "A 19120-2024")</f>
        <v/>
      </c>
      <c r="W58">
        <f>HYPERLINK("https://klasma.github.io/Logging_1907/klagomålsmail/A 19120-2024 FSC-klagomål mail.docx", "A 19120-2024")</f>
        <v/>
      </c>
      <c r="X58">
        <f>HYPERLINK("https://klasma.github.io/Logging_1907/tillsyn/A 19120-2024 tillsynsbegäran.docx", "A 19120-2024")</f>
        <v/>
      </c>
      <c r="Y58">
        <f>HYPERLINK("https://klasma.github.io/Logging_1907/tillsynsmail/A 19120-2024 tillsynsbegäran mail.docx", "A 19120-2024")</f>
        <v/>
      </c>
    </row>
    <row r="59" ht="15" customHeight="1">
      <c r="A59" t="inlineStr">
        <is>
          <t>A 24538-2024</t>
        </is>
      </c>
      <c r="B59" s="1" t="n">
        <v>45460</v>
      </c>
      <c r="C59" s="1" t="n">
        <v>45566</v>
      </c>
      <c r="D59" t="inlineStr">
        <is>
          <t>VÄSTMANLANDS LÄN</t>
        </is>
      </c>
      <c r="E59" t="inlineStr">
        <is>
          <t>SURAHAMMAR</t>
        </is>
      </c>
      <c r="G59" t="n">
        <v>2.5</v>
      </c>
      <c r="H59" t="n">
        <v>1</v>
      </c>
      <c r="I59" t="n">
        <v>1</v>
      </c>
      <c r="J59" t="n">
        <v>0</v>
      </c>
      <c r="K59" t="n">
        <v>1</v>
      </c>
      <c r="L59" t="n">
        <v>0</v>
      </c>
      <c r="M59" t="n">
        <v>0</v>
      </c>
      <c r="N59" t="n">
        <v>0</v>
      </c>
      <c r="O59" t="n">
        <v>1</v>
      </c>
      <c r="P59" t="n">
        <v>1</v>
      </c>
      <c r="Q59" t="n">
        <v>2</v>
      </c>
      <c r="R59" s="2" t="inlineStr">
        <is>
          <t>Knärot
Vedticka</t>
        </is>
      </c>
      <c r="S59">
        <f>HYPERLINK("https://klasma.github.io/Logging_1907/artfynd/A 24538-2024 artfynd.xlsx", "A 24538-2024")</f>
        <v/>
      </c>
      <c r="T59">
        <f>HYPERLINK("https://klasma.github.io/Logging_1907/kartor/A 24538-2024 karta.png", "A 24538-2024")</f>
        <v/>
      </c>
      <c r="U59">
        <f>HYPERLINK("https://klasma.github.io/Logging_1907/knärot/A 24538-2024 karta knärot.png", "A 24538-2024")</f>
        <v/>
      </c>
      <c r="V59">
        <f>HYPERLINK("https://klasma.github.io/Logging_1907/klagomål/A 24538-2024 FSC-klagomål.docx", "A 24538-2024")</f>
        <v/>
      </c>
      <c r="W59">
        <f>HYPERLINK("https://klasma.github.io/Logging_1907/klagomålsmail/A 24538-2024 FSC-klagomål mail.docx", "A 24538-2024")</f>
        <v/>
      </c>
      <c r="X59">
        <f>HYPERLINK("https://klasma.github.io/Logging_1907/tillsyn/A 24538-2024 tillsynsbegäran.docx", "A 24538-2024")</f>
        <v/>
      </c>
      <c r="Y59">
        <f>HYPERLINK("https://klasma.github.io/Logging_1907/tillsynsmail/A 24538-2024 tillsynsbegäran mail.docx", "A 24538-2024")</f>
        <v/>
      </c>
    </row>
    <row r="60" ht="15" customHeight="1">
      <c r="A60" t="inlineStr">
        <is>
          <t>A 34028-2024</t>
        </is>
      </c>
      <c r="B60" s="1" t="n">
        <v>45523</v>
      </c>
      <c r="C60" s="1" t="n">
        <v>45566</v>
      </c>
      <c r="D60" t="inlineStr">
        <is>
          <t>VÄSTMANLANDS LÄN</t>
        </is>
      </c>
      <c r="E60" t="inlineStr">
        <is>
          <t>SURAHAMMAR</t>
        </is>
      </c>
      <c r="F60" t="inlineStr">
        <is>
          <t>Övriga Aktiebolag</t>
        </is>
      </c>
      <c r="G60" t="n">
        <v>16.4</v>
      </c>
      <c r="H60" t="n">
        <v>1</v>
      </c>
      <c r="I60" t="n">
        <v>1</v>
      </c>
      <c r="J60" t="n">
        <v>0</v>
      </c>
      <c r="K60" t="n">
        <v>0</v>
      </c>
      <c r="L60" t="n">
        <v>0</v>
      </c>
      <c r="M60" t="n">
        <v>0</v>
      </c>
      <c r="N60" t="n">
        <v>0</v>
      </c>
      <c r="O60" t="n">
        <v>0</v>
      </c>
      <c r="P60" t="n">
        <v>0</v>
      </c>
      <c r="Q60" t="n">
        <v>2</v>
      </c>
      <c r="R60" s="2" t="inlineStr">
        <is>
          <t>Mindre märgborre
Tjäder</t>
        </is>
      </c>
      <c r="S60">
        <f>HYPERLINK("https://klasma.github.io/Logging_1907/artfynd/A 34028-2024 artfynd.xlsx", "A 34028-2024")</f>
        <v/>
      </c>
      <c r="T60">
        <f>HYPERLINK("https://klasma.github.io/Logging_1907/kartor/A 34028-2024 karta.png", "A 34028-2024")</f>
        <v/>
      </c>
      <c r="V60">
        <f>HYPERLINK("https://klasma.github.io/Logging_1907/klagomål/A 34028-2024 FSC-klagomål.docx", "A 34028-2024")</f>
        <v/>
      </c>
      <c r="W60">
        <f>HYPERLINK("https://klasma.github.io/Logging_1907/klagomålsmail/A 34028-2024 FSC-klagomål mail.docx", "A 34028-2024")</f>
        <v/>
      </c>
      <c r="X60">
        <f>HYPERLINK("https://klasma.github.io/Logging_1907/tillsyn/A 34028-2024 tillsynsbegäran.docx", "A 34028-2024")</f>
        <v/>
      </c>
      <c r="Y60">
        <f>HYPERLINK("https://klasma.github.io/Logging_1907/tillsynsmail/A 34028-2024 tillsynsbegäran mail.docx", "A 34028-2024")</f>
        <v/>
      </c>
      <c r="Z60">
        <f>HYPERLINK("https://klasma.github.io/Logging_1907/fåglar/A 34028-2024 prioriterade fågelarter.docx", "A 34028-2024")</f>
        <v/>
      </c>
    </row>
    <row r="61" ht="15" customHeight="1">
      <c r="A61" t="inlineStr">
        <is>
          <t>A 18948-2019</t>
        </is>
      </c>
      <c r="B61" s="1" t="n">
        <v>43563</v>
      </c>
      <c r="C61" s="1" t="n">
        <v>45566</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45566</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45566</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45566</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45566</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45566</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45566</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45566</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45566</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45566</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45566</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45566</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45566</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45566</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45566</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45566</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45566</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45566</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45566</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45566</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45566</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45566</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45566</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45566</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45566</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45566</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45566</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45566</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45566</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45566</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45566</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45566</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45566</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45566</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45566</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17946-2019</t>
        </is>
      </c>
      <c r="B96" s="1" t="n">
        <v>43557</v>
      </c>
      <c r="C96" s="1" t="n">
        <v>45566</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45566</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45566</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45566</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45566</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45566</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45566</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45566</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45566</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45566</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45566</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45566</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45566</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45566</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45566</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45566</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45566</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45566</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45566</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45566</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45566</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45566</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45566</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45566</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45566</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45566</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45566</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45566</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45566</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45566</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45566</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45566</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45566</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45566</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45566</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45566</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45566</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45566</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45566</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45566</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45566</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45566</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45566</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45566</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45566</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45566</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45566</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45566</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45566</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45566</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45566</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45566</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45566</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45566</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45566</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45566</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45566</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45566</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45566</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45566</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45566</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45566</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45566</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45566</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45566</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45566</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45566</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45566</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45566</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45566</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45566</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45566</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45566</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45566</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45566</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45566</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45566</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45566</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45566</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45566</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45566</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45566</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45566</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45566</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45566</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45566</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45566</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45566</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45566</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45566</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45566</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45566</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45566</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45566</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45566</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45566</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45566</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45566</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45566</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45566</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45566</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45566</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45566</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45566</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45566</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45566</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45566</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45566</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45566</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45566</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45566</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45566</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45566</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45566</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45566</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45566</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45566</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45566</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45566</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45566</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45566</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45566</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45566</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45566</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45566</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45566</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45566</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45566</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45566</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45566</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45566</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45566</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45566</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45566</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45566</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45566</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45566</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45566</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45566</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45566</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45566</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45566</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45566</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45566</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45566</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45566</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45566</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45566</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45566</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45566</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45566</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45566</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45566</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45566</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45566</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45566</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45566</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45566</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45566</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45566</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45566</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45566</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45566</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45566</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45566</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45566</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45566</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45566</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45566</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45566</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45566</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45566</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45566</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45566</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33160-2024</t>
        </is>
      </c>
      <c r="B272" s="1" t="n">
        <v>45518</v>
      </c>
      <c r="C272" s="1" t="n">
        <v>45566</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c r="A273" t="inlineStr">
        <is>
          <t>A 42406-2024</t>
        </is>
      </c>
      <c r="B273" s="1" t="n">
        <v>45565</v>
      </c>
      <c r="C273" s="1" t="n">
        <v>45566</v>
      </c>
      <c r="D273" t="inlineStr">
        <is>
          <t>VÄSTMANLANDS LÄN</t>
        </is>
      </c>
      <c r="E273" t="inlineStr">
        <is>
          <t>SURAHAMMAR</t>
        </is>
      </c>
      <c r="G273" t="n">
        <v>8.199999999999999</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2024-10-01T12:14:56Z</dcterms:created>
  <dcterms:modified xmlns:dcterms="http://purl.org/dc/terms/" xmlns:xsi="http://www.w3.org/2001/XMLSchema-instance" xsi:type="dcterms:W3CDTF">2024-10-01T12:14:56Z</dcterms:modified>
</cp:coreProperties>
</file>