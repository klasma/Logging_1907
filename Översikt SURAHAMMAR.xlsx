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45932</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45932</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45932</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34759-2023</t>
        </is>
      </c>
      <c r="B7" s="1" t="n">
        <v>45139</v>
      </c>
      <c r="C7" s="1" t="n">
        <v>45932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45932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45932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45932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45932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45932</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34040-2024</t>
        </is>
      </c>
      <c r="B13" s="1" t="n">
        <v>45523</v>
      </c>
      <c r="C13" s="1" t="n">
        <v>45932</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45932</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45932</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45932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45932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45932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45932</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45932</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21716-2025</t>
        </is>
      </c>
      <c r="B21" s="1" t="n">
        <v>45783.54804398148</v>
      </c>
      <c r="C21" s="1" t="n">
        <v>45932</v>
      </c>
      <c r="D21" t="inlineStr">
        <is>
          <t>VÄSTMANLANDS LÄN</t>
        </is>
      </c>
      <c r="E21" t="inlineStr">
        <is>
          <t>SURAHAMMAR</t>
        </is>
      </c>
      <c r="F21" t="inlineStr">
        <is>
          <t>Allmännings- och besparingsskogar</t>
        </is>
      </c>
      <c r="G21" t="n">
        <v>21.1</v>
      </c>
      <c r="H21" t="n">
        <v>3</v>
      </c>
      <c r="I21" t="n">
        <v>1</v>
      </c>
      <c r="J21" t="n">
        <v>2</v>
      </c>
      <c r="K21" t="n">
        <v>1</v>
      </c>
      <c r="L21" t="n">
        <v>0</v>
      </c>
      <c r="M21" t="n">
        <v>0</v>
      </c>
      <c r="N21" t="n">
        <v>0</v>
      </c>
      <c r="O21" t="n">
        <v>3</v>
      </c>
      <c r="P21" t="n">
        <v>1</v>
      </c>
      <c r="Q21" t="n">
        <v>4</v>
      </c>
      <c r="R21" s="2" t="inlineStr">
        <is>
          <t>Knärot
Spillkråka
Talltita
Vedticka</t>
        </is>
      </c>
      <c r="S21">
        <f>HYPERLINK("https://klasma.github.io/Logging_1907/artfynd/A 21716-2025 artfynd.xlsx", "A 21716-2025")</f>
        <v/>
      </c>
      <c r="T21">
        <f>HYPERLINK("https://klasma.github.io/Logging_1907/kartor/A 21716-2025 karta.png", "A 21716-2025")</f>
        <v/>
      </c>
      <c r="U21">
        <f>HYPERLINK("https://klasma.github.io/Logging_1907/knärot/A 21716-2025 karta knärot.png", "A 21716-2025")</f>
        <v/>
      </c>
      <c r="V21">
        <f>HYPERLINK("https://klasma.github.io/Logging_1907/klagomål/A 21716-2025 FSC-klagomål.docx", "A 21716-2025")</f>
        <v/>
      </c>
      <c r="W21">
        <f>HYPERLINK("https://klasma.github.io/Logging_1907/klagomålsmail/A 21716-2025 FSC-klagomål mail.docx", "A 21716-2025")</f>
        <v/>
      </c>
      <c r="X21">
        <f>HYPERLINK("https://klasma.github.io/Logging_1907/tillsyn/A 21716-2025 tillsynsbegäran.docx", "A 21716-2025")</f>
        <v/>
      </c>
      <c r="Y21">
        <f>HYPERLINK("https://klasma.github.io/Logging_1907/tillsynsmail/A 21716-2025 tillsynsbegäran mail.docx", "A 21716-2025")</f>
        <v/>
      </c>
      <c r="Z21">
        <f>HYPERLINK("https://klasma.github.io/Logging_1907/fåglar/A 21716-2025 prioriterade fågelarter.docx", "A 21716-2025")</f>
        <v/>
      </c>
    </row>
    <row r="22" ht="15" customHeight="1">
      <c r="A22" t="inlineStr">
        <is>
          <t>A 25548-2024</t>
        </is>
      </c>
      <c r="B22" s="1" t="n">
        <v>45463</v>
      </c>
      <c r="C22" s="1" t="n">
        <v>45932</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45932</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4105-2025</t>
        </is>
      </c>
      <c r="B24" s="1" t="n">
        <v>45684</v>
      </c>
      <c r="C24" s="1" t="n">
        <v>45932</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65024-2023</t>
        </is>
      </c>
      <c r="B25" s="1" t="n">
        <v>45282</v>
      </c>
      <c r="C25" s="1" t="n">
        <v>45932</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45932</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59550-2020</t>
        </is>
      </c>
      <c r="B27" s="1" t="n">
        <v>44148</v>
      </c>
      <c r="C27" s="1" t="n">
        <v>45932</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42853-2022</t>
        </is>
      </c>
      <c r="B28" s="1" t="n">
        <v>44832</v>
      </c>
      <c r="C28" s="1" t="n">
        <v>45932</v>
      </c>
      <c r="D28" t="inlineStr">
        <is>
          <t>VÄSTMANLANDS LÄN</t>
        </is>
      </c>
      <c r="E28" t="inlineStr">
        <is>
          <t>SURAHAMMAR</t>
        </is>
      </c>
      <c r="G28" t="n">
        <v>7.4</v>
      </c>
      <c r="H28" t="n">
        <v>1</v>
      </c>
      <c r="I28" t="n">
        <v>1</v>
      </c>
      <c r="J28" t="n">
        <v>1</v>
      </c>
      <c r="K28" t="n">
        <v>0</v>
      </c>
      <c r="L28" t="n">
        <v>1</v>
      </c>
      <c r="M28" t="n">
        <v>0</v>
      </c>
      <c r="N28" t="n">
        <v>0</v>
      </c>
      <c r="O28" t="n">
        <v>2</v>
      </c>
      <c r="P28" t="n">
        <v>1</v>
      </c>
      <c r="Q28" t="n">
        <v>3</v>
      </c>
      <c r="R28" s="2" t="inlineStr">
        <is>
          <t>Ask
Kandelabersvamp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row>
    <row r="29" ht="15" customHeight="1">
      <c r="A29" t="inlineStr">
        <is>
          <t>A 48128-2023</t>
        </is>
      </c>
      <c r="B29" s="1" t="n">
        <v>45205</v>
      </c>
      <c r="C29" s="1" t="n">
        <v>45932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38200-2021</t>
        </is>
      </c>
      <c r="B30" s="1" t="n">
        <v>44405</v>
      </c>
      <c r="C30" s="1" t="n">
        <v>45932</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42860-2022</t>
        </is>
      </c>
      <c r="B31" s="1" t="n">
        <v>44832</v>
      </c>
      <c r="C31" s="1" t="n">
        <v>45932</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45932</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49718-2023</t>
        </is>
      </c>
      <c r="B33" s="1" t="n">
        <v>45212</v>
      </c>
      <c r="C33" s="1" t="n">
        <v>45932</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45932</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39594-2025</t>
        </is>
      </c>
      <c r="B35" s="1" t="n">
        <v>45890</v>
      </c>
      <c r="C35" s="1" t="n">
        <v>45932</v>
      </c>
      <c r="D35" t="inlineStr">
        <is>
          <t>VÄSTMANLANDS LÄN</t>
        </is>
      </c>
      <c r="E35" t="inlineStr">
        <is>
          <t>SURAHAMMAR</t>
        </is>
      </c>
      <c r="F35" t="inlineStr">
        <is>
          <t>Bergvik skog väst AB</t>
        </is>
      </c>
      <c r="G35" t="n">
        <v>7</v>
      </c>
      <c r="H35" t="n">
        <v>0</v>
      </c>
      <c r="I35" t="n">
        <v>2</v>
      </c>
      <c r="J35" t="n">
        <v>1</v>
      </c>
      <c r="K35" t="n">
        <v>0</v>
      </c>
      <c r="L35" t="n">
        <v>0</v>
      </c>
      <c r="M35" t="n">
        <v>0</v>
      </c>
      <c r="N35" t="n">
        <v>0</v>
      </c>
      <c r="O35" t="n">
        <v>1</v>
      </c>
      <c r="P35" t="n">
        <v>0</v>
      </c>
      <c r="Q35" t="n">
        <v>3</v>
      </c>
      <c r="R35" s="2" t="inlineStr">
        <is>
          <t>Gropticka
Gullgröppa
Vedticka</t>
        </is>
      </c>
      <c r="S35">
        <f>HYPERLINK("https://klasma.github.io/Logging_1907/artfynd/A 39594-2025 artfynd.xlsx", "A 39594-2025")</f>
        <v/>
      </c>
      <c r="T35">
        <f>HYPERLINK("https://klasma.github.io/Logging_1907/kartor/A 39594-2025 karta.png", "A 39594-2025")</f>
        <v/>
      </c>
      <c r="V35">
        <f>HYPERLINK("https://klasma.github.io/Logging_1907/klagomål/A 39594-2025 FSC-klagomål.docx", "A 39594-2025")</f>
        <v/>
      </c>
      <c r="W35">
        <f>HYPERLINK("https://klasma.github.io/Logging_1907/klagomålsmail/A 39594-2025 FSC-klagomål mail.docx", "A 39594-2025")</f>
        <v/>
      </c>
      <c r="X35">
        <f>HYPERLINK("https://klasma.github.io/Logging_1907/tillsyn/A 39594-2025 tillsynsbegäran.docx", "A 39594-2025")</f>
        <v/>
      </c>
      <c r="Y35">
        <f>HYPERLINK("https://klasma.github.io/Logging_1907/tillsynsmail/A 39594-2025 tillsynsbegäran mail.docx", "A 39594-2025")</f>
        <v/>
      </c>
    </row>
    <row r="36" ht="15" customHeight="1">
      <c r="A36" t="inlineStr">
        <is>
          <t>A 8552-2022</t>
        </is>
      </c>
      <c r="B36" s="1" t="n">
        <v>44613</v>
      </c>
      <c r="C36" s="1" t="n">
        <v>45932</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20391-2024</t>
        </is>
      </c>
      <c r="B37" s="1" t="n">
        <v>45435</v>
      </c>
      <c r="C37" s="1" t="n">
        <v>45932</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37801-2021</t>
        </is>
      </c>
      <c r="B38" s="1" t="n">
        <v>44402</v>
      </c>
      <c r="C38" s="1" t="n">
        <v>45932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45932</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21618-2025</t>
        </is>
      </c>
      <c r="B40" s="1" t="n">
        <v>45783</v>
      </c>
      <c r="C40" s="1" t="n">
        <v>45932</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37800-2021</t>
        </is>
      </c>
      <c r="B41" s="1" t="n">
        <v>44402</v>
      </c>
      <c r="C41" s="1" t="n">
        <v>45932</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45932</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45932</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45932</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45932</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45932</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44356-2024</t>
        </is>
      </c>
      <c r="B47" s="1" t="n">
        <v>45573</v>
      </c>
      <c r="C47" s="1" t="n">
        <v>45932</v>
      </c>
      <c r="D47" t="inlineStr">
        <is>
          <t>VÄSTMANLANDS LÄN</t>
        </is>
      </c>
      <c r="E47" t="inlineStr">
        <is>
          <t>SURAHAMMAR</t>
        </is>
      </c>
      <c r="F47" t="inlineStr">
        <is>
          <t>Sveaskog</t>
        </is>
      </c>
      <c r="G47" t="n">
        <v>0.7</v>
      </c>
      <c r="H47" t="n">
        <v>1</v>
      </c>
      <c r="I47" t="n">
        <v>0</v>
      </c>
      <c r="J47" t="n">
        <v>0</v>
      </c>
      <c r="K47" t="n">
        <v>0</v>
      </c>
      <c r="L47" t="n">
        <v>0</v>
      </c>
      <c r="M47" t="n">
        <v>0</v>
      </c>
      <c r="N47" t="n">
        <v>0</v>
      </c>
      <c r="O47" t="n">
        <v>0</v>
      </c>
      <c r="P47" t="n">
        <v>0</v>
      </c>
      <c r="Q47" t="n">
        <v>1</v>
      </c>
      <c r="R47" s="2" t="inlineStr">
        <is>
          <t>Revlummer</t>
        </is>
      </c>
      <c r="S47">
        <f>HYPERLINK("https://klasma.github.io/Logging_1907/artfynd/A 44356-2024 artfynd.xlsx", "A 44356-2024")</f>
        <v/>
      </c>
      <c r="T47">
        <f>HYPERLINK("https://klasma.github.io/Logging_1907/kartor/A 44356-2024 karta.png", "A 44356-2024")</f>
        <v/>
      </c>
      <c r="V47">
        <f>HYPERLINK("https://klasma.github.io/Logging_1907/klagomål/A 44356-2024 FSC-klagomål.docx", "A 44356-2024")</f>
        <v/>
      </c>
      <c r="W47">
        <f>HYPERLINK("https://klasma.github.io/Logging_1907/klagomålsmail/A 44356-2024 FSC-klagomål mail.docx", "A 44356-2024")</f>
        <v/>
      </c>
      <c r="X47">
        <f>HYPERLINK("https://klasma.github.io/Logging_1907/tillsyn/A 44356-2024 tillsynsbegäran.docx", "A 44356-2024")</f>
        <v/>
      </c>
      <c r="Y47">
        <f>HYPERLINK("https://klasma.github.io/Logging_1907/tillsynsmail/A 44356-2024 tillsynsbegäran mail.docx", "A 44356-2024")</f>
        <v/>
      </c>
    </row>
    <row r="48" ht="15" customHeight="1">
      <c r="A48" t="inlineStr">
        <is>
          <t>A 56362-2023</t>
        </is>
      </c>
      <c r="B48" s="1" t="n">
        <v>45236</v>
      </c>
      <c r="C48" s="1" t="n">
        <v>45932</v>
      </c>
      <c r="D48" t="inlineStr">
        <is>
          <t>VÄSTMANLANDS LÄN</t>
        </is>
      </c>
      <c r="E48" t="inlineStr">
        <is>
          <t>SURAHAMMAR</t>
        </is>
      </c>
      <c r="F48" t="inlineStr">
        <is>
          <t>Bergvik skog väst AB</t>
        </is>
      </c>
      <c r="G48" t="n">
        <v>15.2</v>
      </c>
      <c r="H48" t="n">
        <v>0</v>
      </c>
      <c r="I48" t="n">
        <v>1</v>
      </c>
      <c r="J48" t="n">
        <v>0</v>
      </c>
      <c r="K48" t="n">
        <v>0</v>
      </c>
      <c r="L48" t="n">
        <v>0</v>
      </c>
      <c r="M48" t="n">
        <v>0</v>
      </c>
      <c r="N48" t="n">
        <v>0</v>
      </c>
      <c r="O48" t="n">
        <v>0</v>
      </c>
      <c r="P48" t="n">
        <v>0</v>
      </c>
      <c r="Q48" t="n">
        <v>1</v>
      </c>
      <c r="R48" s="2" t="inlineStr">
        <is>
          <t>Grönpyrola</t>
        </is>
      </c>
      <c r="S48">
        <f>HYPERLINK("https://klasma.github.io/Logging_1907/artfynd/A 56362-2023 artfynd.xlsx", "A 56362-2023")</f>
        <v/>
      </c>
      <c r="T48">
        <f>HYPERLINK("https://klasma.github.io/Logging_1907/kartor/A 56362-2023 karta.png", "A 56362-2023")</f>
        <v/>
      </c>
      <c r="V48">
        <f>HYPERLINK("https://klasma.github.io/Logging_1907/klagomål/A 56362-2023 FSC-klagomål.docx", "A 56362-2023")</f>
        <v/>
      </c>
      <c r="W48">
        <f>HYPERLINK("https://klasma.github.io/Logging_1907/klagomålsmail/A 56362-2023 FSC-klagomål mail.docx", "A 56362-2023")</f>
        <v/>
      </c>
      <c r="X48">
        <f>HYPERLINK("https://klasma.github.io/Logging_1907/tillsyn/A 56362-2023 tillsynsbegäran.docx", "A 56362-2023")</f>
        <v/>
      </c>
      <c r="Y48">
        <f>HYPERLINK("https://klasma.github.io/Logging_1907/tillsynsmail/A 56362-2023 tillsynsbegäran mail.docx", "A 56362-2023")</f>
        <v/>
      </c>
    </row>
    <row r="49" ht="15" customHeight="1">
      <c r="A49" t="inlineStr">
        <is>
          <t>A 47453-2024</t>
        </is>
      </c>
      <c r="B49" s="1" t="n">
        <v>45587.55017361111</v>
      </c>
      <c r="C49" s="1" t="n">
        <v>45932</v>
      </c>
      <c r="D49" t="inlineStr">
        <is>
          <t>VÄSTMANLANDS LÄN</t>
        </is>
      </c>
      <c r="E49" t="inlineStr">
        <is>
          <t>SURAHAMMAR</t>
        </is>
      </c>
      <c r="G49" t="n">
        <v>5.1</v>
      </c>
      <c r="H49" t="n">
        <v>1</v>
      </c>
      <c r="I49" t="n">
        <v>0</v>
      </c>
      <c r="J49" t="n">
        <v>0</v>
      </c>
      <c r="K49" t="n">
        <v>0</v>
      </c>
      <c r="L49" t="n">
        <v>0</v>
      </c>
      <c r="M49" t="n">
        <v>0</v>
      </c>
      <c r="N49" t="n">
        <v>0</v>
      </c>
      <c r="O49" t="n">
        <v>0</v>
      </c>
      <c r="P49" t="n">
        <v>0</v>
      </c>
      <c r="Q49" t="n">
        <v>1</v>
      </c>
      <c r="R49" s="2" t="inlineStr">
        <is>
          <t>Göktyta</t>
        </is>
      </c>
      <c r="S49">
        <f>HYPERLINK("https://klasma.github.io/Logging_1907/artfynd/A 47453-2024 artfynd.xlsx", "A 47453-2024")</f>
        <v/>
      </c>
      <c r="T49">
        <f>HYPERLINK("https://klasma.github.io/Logging_1907/kartor/A 47453-2024 karta.png", "A 47453-2024")</f>
        <v/>
      </c>
      <c r="V49">
        <f>HYPERLINK("https://klasma.github.io/Logging_1907/klagomål/A 47453-2024 FSC-klagomål.docx", "A 47453-2024")</f>
        <v/>
      </c>
      <c r="W49">
        <f>HYPERLINK("https://klasma.github.io/Logging_1907/klagomålsmail/A 47453-2024 FSC-klagomål mail.docx", "A 47453-2024")</f>
        <v/>
      </c>
      <c r="X49">
        <f>HYPERLINK("https://klasma.github.io/Logging_1907/tillsyn/A 47453-2024 tillsynsbegäran.docx", "A 47453-2024")</f>
        <v/>
      </c>
      <c r="Y49">
        <f>HYPERLINK("https://klasma.github.io/Logging_1907/tillsynsmail/A 47453-2024 tillsynsbegäran mail.docx", "A 47453-2024")</f>
        <v/>
      </c>
      <c r="Z49">
        <f>HYPERLINK("https://klasma.github.io/Logging_1907/fåglar/A 47453-2024 prioriterade fågelarter.docx", "A 47453-2024")</f>
        <v/>
      </c>
    </row>
    <row r="50" ht="15" customHeight="1">
      <c r="A50" t="inlineStr">
        <is>
          <t>A 22840-2023</t>
        </is>
      </c>
      <c r="B50" s="1" t="n">
        <v>45072</v>
      </c>
      <c r="C50" s="1" t="n">
        <v>45932</v>
      </c>
      <c r="D50" t="inlineStr">
        <is>
          <t>VÄSTMANLANDS LÄN</t>
        </is>
      </c>
      <c r="E50" t="inlineStr">
        <is>
          <t>SURAHAMMAR</t>
        </is>
      </c>
      <c r="G50" t="n">
        <v>4.3</v>
      </c>
      <c r="H50" t="n">
        <v>1</v>
      </c>
      <c r="I50" t="n">
        <v>0</v>
      </c>
      <c r="J50" t="n">
        <v>0</v>
      </c>
      <c r="K50" t="n">
        <v>0</v>
      </c>
      <c r="L50" t="n">
        <v>0</v>
      </c>
      <c r="M50" t="n">
        <v>0</v>
      </c>
      <c r="N50" t="n">
        <v>0</v>
      </c>
      <c r="O50" t="n">
        <v>0</v>
      </c>
      <c r="P50" t="n">
        <v>0</v>
      </c>
      <c r="Q50" t="n">
        <v>1</v>
      </c>
      <c r="R50" s="2" t="inlineStr">
        <is>
          <t>Fläcknycklar</t>
        </is>
      </c>
      <c r="S50">
        <f>HYPERLINK("https://klasma.github.io/Logging_1907/artfynd/A 22840-2023 artfynd.xlsx", "A 22840-2023")</f>
        <v/>
      </c>
      <c r="T50">
        <f>HYPERLINK("https://klasma.github.io/Logging_1907/kartor/A 22840-2023 karta.png", "A 22840-2023")</f>
        <v/>
      </c>
      <c r="V50">
        <f>HYPERLINK("https://klasma.github.io/Logging_1907/klagomål/A 22840-2023 FSC-klagomål.docx", "A 22840-2023")</f>
        <v/>
      </c>
      <c r="W50">
        <f>HYPERLINK("https://klasma.github.io/Logging_1907/klagomålsmail/A 22840-2023 FSC-klagomål mail.docx", "A 22840-2023")</f>
        <v/>
      </c>
      <c r="X50">
        <f>HYPERLINK("https://klasma.github.io/Logging_1907/tillsyn/A 22840-2023 tillsynsbegäran.docx", "A 22840-2023")</f>
        <v/>
      </c>
      <c r="Y50">
        <f>HYPERLINK("https://klasma.github.io/Logging_1907/tillsynsmail/A 22840-2023 tillsynsbegäran mail.docx", "A 22840-2023")</f>
        <v/>
      </c>
    </row>
    <row r="51" ht="15" customHeight="1">
      <c r="A51" t="inlineStr">
        <is>
          <t>A 33231-2024</t>
        </is>
      </c>
      <c r="B51" s="1" t="n">
        <v>45518</v>
      </c>
      <c r="C51" s="1" t="n">
        <v>45932</v>
      </c>
      <c r="D51" t="inlineStr">
        <is>
          <t>VÄSTMANLANDS LÄN</t>
        </is>
      </c>
      <c r="E51" t="inlineStr">
        <is>
          <t>SURAHAMMAR</t>
        </is>
      </c>
      <c r="F51" t="inlineStr">
        <is>
          <t>Bergvik skog väst AB</t>
        </is>
      </c>
      <c r="G51" t="n">
        <v>1.5</v>
      </c>
      <c r="H51" t="n">
        <v>1</v>
      </c>
      <c r="I51" t="n">
        <v>0</v>
      </c>
      <c r="J51" t="n">
        <v>0</v>
      </c>
      <c r="K51" t="n">
        <v>0</v>
      </c>
      <c r="L51" t="n">
        <v>0</v>
      </c>
      <c r="M51" t="n">
        <v>0</v>
      </c>
      <c r="N51" t="n">
        <v>0</v>
      </c>
      <c r="O51" t="n">
        <v>0</v>
      </c>
      <c r="P51" t="n">
        <v>0</v>
      </c>
      <c r="Q51" t="n">
        <v>1</v>
      </c>
      <c r="R51" s="2" t="inlineStr">
        <is>
          <t>Mindre vattensalamander</t>
        </is>
      </c>
      <c r="S51">
        <f>HYPERLINK("https://klasma.github.io/Logging_1907/artfynd/A 33231-2024 artfynd.xlsx", "A 33231-2024")</f>
        <v/>
      </c>
      <c r="T51">
        <f>HYPERLINK("https://klasma.github.io/Logging_1907/kartor/A 33231-2024 karta.png", "A 33231-2024")</f>
        <v/>
      </c>
      <c r="V51">
        <f>HYPERLINK("https://klasma.github.io/Logging_1907/klagomål/A 33231-2024 FSC-klagomål.docx", "A 33231-2024")</f>
        <v/>
      </c>
      <c r="W51">
        <f>HYPERLINK("https://klasma.github.io/Logging_1907/klagomålsmail/A 33231-2024 FSC-klagomål mail.docx", "A 33231-2024")</f>
        <v/>
      </c>
      <c r="X51">
        <f>HYPERLINK("https://klasma.github.io/Logging_1907/tillsyn/A 33231-2024 tillsynsbegäran.docx", "A 33231-2024")</f>
        <v/>
      </c>
      <c r="Y51">
        <f>HYPERLINK("https://klasma.github.io/Logging_1907/tillsynsmail/A 33231-2024 tillsynsbegäran mail.docx", "A 33231-2024")</f>
        <v/>
      </c>
    </row>
    <row r="52" ht="15" customHeight="1">
      <c r="A52" t="inlineStr">
        <is>
          <t>A 30074-2023</t>
        </is>
      </c>
      <c r="B52" s="1" t="n">
        <v>45110</v>
      </c>
      <c r="C52" s="1" t="n">
        <v>45932</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45932</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25583-2024</t>
        </is>
      </c>
      <c r="B54" s="1" t="n">
        <v>45463</v>
      </c>
      <c r="C54" s="1" t="n">
        <v>45932</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62097-2024</t>
        </is>
      </c>
      <c r="B55" s="1" t="n">
        <v>45646</v>
      </c>
      <c r="C55" s="1" t="n">
        <v>45932</v>
      </c>
      <c r="D55" t="inlineStr">
        <is>
          <t>VÄSTMANLANDS LÄN</t>
        </is>
      </c>
      <c r="E55" t="inlineStr">
        <is>
          <t>SURAHAMMAR</t>
        </is>
      </c>
      <c r="F55" t="inlineStr">
        <is>
          <t>Bergvik skog väst AB</t>
        </is>
      </c>
      <c r="G55" t="n">
        <v>21.7</v>
      </c>
      <c r="H55" t="n">
        <v>1</v>
      </c>
      <c r="I55" t="n">
        <v>0</v>
      </c>
      <c r="J55" t="n">
        <v>0</v>
      </c>
      <c r="K55" t="n">
        <v>0</v>
      </c>
      <c r="L55" t="n">
        <v>0</v>
      </c>
      <c r="M55" t="n">
        <v>0</v>
      </c>
      <c r="N55" t="n">
        <v>0</v>
      </c>
      <c r="O55" t="n">
        <v>0</v>
      </c>
      <c r="P55" t="n">
        <v>0</v>
      </c>
      <c r="Q55" t="n">
        <v>1</v>
      </c>
      <c r="R55" s="2" t="inlineStr">
        <is>
          <t>Revlummer</t>
        </is>
      </c>
      <c r="S55">
        <f>HYPERLINK("https://klasma.github.io/Logging_1907/artfynd/A 62097-2024 artfynd.xlsx", "A 62097-2024")</f>
        <v/>
      </c>
      <c r="T55">
        <f>HYPERLINK("https://klasma.github.io/Logging_1907/kartor/A 62097-2024 karta.png", "A 62097-2024")</f>
        <v/>
      </c>
      <c r="V55">
        <f>HYPERLINK("https://klasma.github.io/Logging_1907/klagomål/A 62097-2024 FSC-klagomål.docx", "A 62097-2024")</f>
        <v/>
      </c>
      <c r="W55">
        <f>HYPERLINK("https://klasma.github.io/Logging_1907/klagomålsmail/A 62097-2024 FSC-klagomål mail.docx", "A 62097-2024")</f>
        <v/>
      </c>
      <c r="X55">
        <f>HYPERLINK("https://klasma.github.io/Logging_1907/tillsyn/A 62097-2024 tillsynsbegäran.docx", "A 62097-2024")</f>
        <v/>
      </c>
      <c r="Y55">
        <f>HYPERLINK("https://klasma.github.io/Logging_1907/tillsynsmail/A 62097-2024 tillsynsbegäran mail.docx", "A 62097-2024")</f>
        <v/>
      </c>
    </row>
    <row r="56" ht="15" customHeight="1">
      <c r="A56" t="inlineStr">
        <is>
          <t>A 13788-2025</t>
        </is>
      </c>
      <c r="B56" s="1" t="n">
        <v>45737.45327546296</v>
      </c>
      <c r="C56" s="1" t="n">
        <v>45932</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39099-2022</t>
        </is>
      </c>
      <c r="B57" s="1" t="n">
        <v>44817</v>
      </c>
      <c r="C57" s="1" t="n">
        <v>45932</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14001-2023</t>
        </is>
      </c>
      <c r="B58" s="1" t="n">
        <v>45007</v>
      </c>
      <c r="C58" s="1" t="n">
        <v>45932</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42765-2022</t>
        </is>
      </c>
      <c r="B59" s="1" t="n">
        <v>44832</v>
      </c>
      <c r="C59" s="1" t="n">
        <v>45932</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45932</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45932</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40403-2025</t>
        </is>
      </c>
      <c r="B62" s="1" t="n">
        <v>45895</v>
      </c>
      <c r="C62" s="1" t="n">
        <v>45932</v>
      </c>
      <c r="D62" t="inlineStr">
        <is>
          <t>VÄSTMANLANDS LÄN</t>
        </is>
      </c>
      <c r="E62" t="inlineStr">
        <is>
          <t>SURAHAMMAR</t>
        </is>
      </c>
      <c r="F62" t="inlineStr">
        <is>
          <t>Kommuner</t>
        </is>
      </c>
      <c r="G62" t="n">
        <v>3.9</v>
      </c>
      <c r="H62" t="n">
        <v>0</v>
      </c>
      <c r="I62" t="n">
        <v>0</v>
      </c>
      <c r="J62" t="n">
        <v>1</v>
      </c>
      <c r="K62" t="n">
        <v>0</v>
      </c>
      <c r="L62" t="n">
        <v>0</v>
      </c>
      <c r="M62" t="n">
        <v>0</v>
      </c>
      <c r="N62" t="n">
        <v>0</v>
      </c>
      <c r="O62" t="n">
        <v>1</v>
      </c>
      <c r="P62" t="n">
        <v>0</v>
      </c>
      <c r="Q62" t="n">
        <v>1</v>
      </c>
      <c r="R62" s="2" t="inlineStr">
        <is>
          <t>Igelkott</t>
        </is>
      </c>
      <c r="S62">
        <f>HYPERLINK("https://klasma.github.io/Logging_1907/artfynd/A 40403-2025 artfynd.xlsx", "A 40403-2025")</f>
        <v/>
      </c>
      <c r="T62">
        <f>HYPERLINK("https://klasma.github.io/Logging_1907/kartor/A 40403-2025 karta.png", "A 40403-2025")</f>
        <v/>
      </c>
      <c r="V62">
        <f>HYPERLINK("https://klasma.github.io/Logging_1907/klagomål/A 40403-2025 FSC-klagomål.docx", "A 40403-2025")</f>
        <v/>
      </c>
      <c r="W62">
        <f>HYPERLINK("https://klasma.github.io/Logging_1907/klagomålsmail/A 40403-2025 FSC-klagomål mail.docx", "A 40403-2025")</f>
        <v/>
      </c>
      <c r="X62">
        <f>HYPERLINK("https://klasma.github.io/Logging_1907/tillsyn/A 40403-2025 tillsynsbegäran.docx", "A 40403-2025")</f>
        <v/>
      </c>
      <c r="Y62">
        <f>HYPERLINK("https://klasma.github.io/Logging_1907/tillsynsmail/A 40403-2025 tillsynsbegäran mail.docx", "A 40403-2025")</f>
        <v/>
      </c>
    </row>
    <row r="63" ht="15" customHeight="1">
      <c r="A63" t="inlineStr">
        <is>
          <t>A 42089-2025</t>
        </is>
      </c>
      <c r="B63" s="1" t="n">
        <v>45902</v>
      </c>
      <c r="C63" s="1" t="n">
        <v>45932</v>
      </c>
      <c r="D63" t="inlineStr">
        <is>
          <t>VÄSTMANLANDS LÄN</t>
        </is>
      </c>
      <c r="E63" t="inlineStr">
        <is>
          <t>SURAHAMMAR</t>
        </is>
      </c>
      <c r="G63" t="n">
        <v>2.2</v>
      </c>
      <c r="H63" t="n">
        <v>0</v>
      </c>
      <c r="I63" t="n">
        <v>0</v>
      </c>
      <c r="J63" t="n">
        <v>1</v>
      </c>
      <c r="K63" t="n">
        <v>0</v>
      </c>
      <c r="L63" t="n">
        <v>0</v>
      </c>
      <c r="M63" t="n">
        <v>0</v>
      </c>
      <c r="N63" t="n">
        <v>0</v>
      </c>
      <c r="O63" t="n">
        <v>1</v>
      </c>
      <c r="P63" t="n">
        <v>0</v>
      </c>
      <c r="Q63" t="n">
        <v>1</v>
      </c>
      <c r="R63" s="2" t="inlineStr">
        <is>
          <t>Motaggsvamp</t>
        </is>
      </c>
      <c r="S63">
        <f>HYPERLINK("https://klasma.github.io/Logging_1907/artfynd/A 42089-2025 artfynd.xlsx", "A 42089-2025")</f>
        <v/>
      </c>
      <c r="T63">
        <f>HYPERLINK("https://klasma.github.io/Logging_1907/kartor/A 42089-2025 karta.png", "A 42089-2025")</f>
        <v/>
      </c>
      <c r="V63">
        <f>HYPERLINK("https://klasma.github.io/Logging_1907/klagomål/A 42089-2025 FSC-klagomål.docx", "A 42089-2025")</f>
        <v/>
      </c>
      <c r="W63">
        <f>HYPERLINK("https://klasma.github.io/Logging_1907/klagomålsmail/A 42089-2025 FSC-klagomål mail.docx", "A 42089-2025")</f>
        <v/>
      </c>
      <c r="X63">
        <f>HYPERLINK("https://klasma.github.io/Logging_1907/tillsyn/A 42089-2025 tillsynsbegäran.docx", "A 42089-2025")</f>
        <v/>
      </c>
      <c r="Y63">
        <f>HYPERLINK("https://klasma.github.io/Logging_1907/tillsynsmail/A 42089-2025 tillsynsbegäran mail.docx", "A 42089-2025")</f>
        <v/>
      </c>
    </row>
    <row r="64" ht="15" customHeight="1">
      <c r="A64" t="inlineStr">
        <is>
          <t>A 69777-2021</t>
        </is>
      </c>
      <c r="B64" s="1" t="n">
        <v>44532</v>
      </c>
      <c r="C64" s="1" t="n">
        <v>45932</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31176-2024</t>
        </is>
      </c>
      <c r="B65" s="1" t="n">
        <v>45503</v>
      </c>
      <c r="C65" s="1" t="n">
        <v>45932</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17632-2022</t>
        </is>
      </c>
      <c r="B66" s="1" t="n">
        <v>44680</v>
      </c>
      <c r="C66" s="1" t="n">
        <v>45932</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39694-2025</t>
        </is>
      </c>
      <c r="B67" s="1" t="n">
        <v>45890</v>
      </c>
      <c r="C67" s="1" t="n">
        <v>45932</v>
      </c>
      <c r="D67" t="inlineStr">
        <is>
          <t>VÄSTMANLANDS LÄN</t>
        </is>
      </c>
      <c r="E67" t="inlineStr">
        <is>
          <t>SURAHAMMAR</t>
        </is>
      </c>
      <c r="F67" t="inlineStr">
        <is>
          <t>Bergvik skog väst AB</t>
        </is>
      </c>
      <c r="G67" t="n">
        <v>2.9</v>
      </c>
      <c r="H67" t="n">
        <v>0</v>
      </c>
      <c r="I67" t="n">
        <v>1</v>
      </c>
      <c r="J67" t="n">
        <v>0</v>
      </c>
      <c r="K67" t="n">
        <v>0</v>
      </c>
      <c r="L67" t="n">
        <v>0</v>
      </c>
      <c r="M67" t="n">
        <v>0</v>
      </c>
      <c r="N67" t="n">
        <v>0</v>
      </c>
      <c r="O67" t="n">
        <v>0</v>
      </c>
      <c r="P67" t="n">
        <v>0</v>
      </c>
      <c r="Q67" t="n">
        <v>1</v>
      </c>
      <c r="R67" s="2" t="inlineStr">
        <is>
          <t>Mindre märgborre</t>
        </is>
      </c>
      <c r="S67">
        <f>HYPERLINK("https://klasma.github.io/Logging_1907/artfynd/A 39694-2025 artfynd.xlsx", "A 39694-2025")</f>
        <v/>
      </c>
      <c r="T67">
        <f>HYPERLINK("https://klasma.github.io/Logging_1907/kartor/A 39694-2025 karta.png", "A 39694-2025")</f>
        <v/>
      </c>
      <c r="V67">
        <f>HYPERLINK("https://klasma.github.io/Logging_1907/klagomål/A 39694-2025 FSC-klagomål.docx", "A 39694-2025")</f>
        <v/>
      </c>
      <c r="W67">
        <f>HYPERLINK("https://klasma.github.io/Logging_1907/klagomålsmail/A 39694-2025 FSC-klagomål mail.docx", "A 39694-2025")</f>
        <v/>
      </c>
      <c r="X67">
        <f>HYPERLINK("https://klasma.github.io/Logging_1907/tillsyn/A 39694-2025 tillsynsbegäran.docx", "A 39694-2025")</f>
        <v/>
      </c>
      <c r="Y67">
        <f>HYPERLINK("https://klasma.github.io/Logging_1907/tillsynsmail/A 39694-2025 tillsynsbegäran mail.docx", "A 39694-2025")</f>
        <v/>
      </c>
    </row>
    <row r="68" ht="15" customHeight="1">
      <c r="A68" t="inlineStr">
        <is>
          <t>A 43451-2024</t>
        </is>
      </c>
      <c r="B68" s="1" t="n">
        <v>45568</v>
      </c>
      <c r="C68" s="1" t="n">
        <v>45932</v>
      </c>
      <c r="D68" t="inlineStr">
        <is>
          <t>VÄSTMANLANDS LÄN</t>
        </is>
      </c>
      <c r="E68" t="inlineStr">
        <is>
          <t>SURAHAMMAR</t>
        </is>
      </c>
      <c r="F68" t="inlineStr">
        <is>
          <t>Bergvik skog väst AB</t>
        </is>
      </c>
      <c r="G68" t="n">
        <v>2.9</v>
      </c>
      <c r="H68" t="n">
        <v>0</v>
      </c>
      <c r="I68" t="n">
        <v>0</v>
      </c>
      <c r="J68" t="n">
        <v>1</v>
      </c>
      <c r="K68" t="n">
        <v>0</v>
      </c>
      <c r="L68" t="n">
        <v>0</v>
      </c>
      <c r="M68" t="n">
        <v>0</v>
      </c>
      <c r="N68" t="n">
        <v>0</v>
      </c>
      <c r="O68" t="n">
        <v>1</v>
      </c>
      <c r="P68" t="n">
        <v>0</v>
      </c>
      <c r="Q68" t="n">
        <v>1</v>
      </c>
      <c r="R68" s="2" t="inlineStr">
        <is>
          <t>Ullticka</t>
        </is>
      </c>
      <c r="S68">
        <f>HYPERLINK("https://klasma.github.io/Logging_1907/artfynd/A 43451-2024 artfynd.xlsx", "A 43451-2024")</f>
        <v/>
      </c>
      <c r="T68">
        <f>HYPERLINK("https://klasma.github.io/Logging_1907/kartor/A 43451-2024 karta.png", "A 43451-2024")</f>
        <v/>
      </c>
      <c r="V68">
        <f>HYPERLINK("https://klasma.github.io/Logging_1907/klagomål/A 43451-2024 FSC-klagomål.docx", "A 43451-2024")</f>
        <v/>
      </c>
      <c r="W68">
        <f>HYPERLINK("https://klasma.github.io/Logging_1907/klagomålsmail/A 43451-2024 FSC-klagomål mail.docx", "A 43451-2024")</f>
        <v/>
      </c>
      <c r="X68">
        <f>HYPERLINK("https://klasma.github.io/Logging_1907/tillsyn/A 43451-2024 tillsynsbegäran.docx", "A 43451-2024")</f>
        <v/>
      </c>
      <c r="Y68">
        <f>HYPERLINK("https://klasma.github.io/Logging_1907/tillsynsmail/A 43451-2024 tillsynsbegäran mail.docx", "A 43451-2024")</f>
        <v/>
      </c>
    </row>
    <row r="69" ht="15" customHeight="1">
      <c r="A69" t="inlineStr">
        <is>
          <t>A 1492-2021</t>
        </is>
      </c>
      <c r="B69" s="1" t="n">
        <v>44209</v>
      </c>
      <c r="C69" s="1" t="n">
        <v>45932</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45932</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45932</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45932</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45932</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45932</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45932</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45932</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45932</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45932</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52076-2020</t>
        </is>
      </c>
      <c r="B79" s="1" t="n">
        <v>44117</v>
      </c>
      <c r="C79" s="1" t="n">
        <v>45932</v>
      </c>
      <c r="D79" t="inlineStr">
        <is>
          <t>VÄSTMANLANDS LÄN</t>
        </is>
      </c>
      <c r="E79" t="inlineStr">
        <is>
          <t>SURAHAMMAR</t>
        </is>
      </c>
      <c r="F79" t="inlineStr">
        <is>
          <t>Sveaskog</t>
        </is>
      </c>
      <c r="G79" t="n">
        <v>1.5</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45932</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59543-2020</t>
        </is>
      </c>
      <c r="B81" s="1" t="n">
        <v>44148</v>
      </c>
      <c r="C81" s="1" t="n">
        <v>45932</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67611-2021</t>
        </is>
      </c>
      <c r="B82" s="1" t="n">
        <v>44524</v>
      </c>
      <c r="C82" s="1" t="n">
        <v>45932</v>
      </c>
      <c r="D82" t="inlineStr">
        <is>
          <t>VÄSTMANLANDS LÄN</t>
        </is>
      </c>
      <c r="E82" t="inlineStr">
        <is>
          <t>SURAHAMMAR</t>
        </is>
      </c>
      <c r="F82" t="inlineStr">
        <is>
          <t>Kommuner</t>
        </is>
      </c>
      <c r="G82" t="n">
        <v>3.8</v>
      </c>
      <c r="H82" t="n">
        <v>0</v>
      </c>
      <c r="I82" t="n">
        <v>0</v>
      </c>
      <c r="J82" t="n">
        <v>0</v>
      </c>
      <c r="K82" t="n">
        <v>0</v>
      </c>
      <c r="L82" t="n">
        <v>0</v>
      </c>
      <c r="M82" t="n">
        <v>0</v>
      </c>
      <c r="N82" t="n">
        <v>0</v>
      </c>
      <c r="O82" t="n">
        <v>0</v>
      </c>
      <c r="P82" t="n">
        <v>0</v>
      </c>
      <c r="Q82" t="n">
        <v>0</v>
      </c>
      <c r="R82" s="2" t="inlineStr"/>
    </row>
    <row r="83" ht="15" customHeight="1">
      <c r="A83" t="inlineStr">
        <is>
          <t>A 19846-2022</t>
        </is>
      </c>
      <c r="B83" s="1" t="n">
        <v>44696.89327546296</v>
      </c>
      <c r="C83" s="1" t="n">
        <v>45932</v>
      </c>
      <c r="D83" t="inlineStr">
        <is>
          <t>VÄSTMANLANDS LÄN</t>
        </is>
      </c>
      <c r="E83" t="inlineStr">
        <is>
          <t>SURAHAMMAR</t>
        </is>
      </c>
      <c r="F83" t="inlineStr">
        <is>
          <t>Kommuner</t>
        </is>
      </c>
      <c r="G83" t="n">
        <v>3.4</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45932</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45932</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45932</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45932</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45932</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3595-2022</t>
        </is>
      </c>
      <c r="B89" s="1" t="n">
        <v>44586</v>
      </c>
      <c r="C89" s="1" t="n">
        <v>45932</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3155-2022</t>
        </is>
      </c>
      <c r="B90" s="1" t="n">
        <v>44582</v>
      </c>
      <c r="C90" s="1" t="n">
        <v>45932</v>
      </c>
      <c r="D90" t="inlineStr">
        <is>
          <t>VÄSTMANLANDS LÄN</t>
        </is>
      </c>
      <c r="E90" t="inlineStr">
        <is>
          <t>SURAHAMMAR</t>
        </is>
      </c>
      <c r="G90" t="n">
        <v>5.5</v>
      </c>
      <c r="H90" t="n">
        <v>0</v>
      </c>
      <c r="I90" t="n">
        <v>0</v>
      </c>
      <c r="J90" t="n">
        <v>0</v>
      </c>
      <c r="K90" t="n">
        <v>0</v>
      </c>
      <c r="L90" t="n">
        <v>0</v>
      </c>
      <c r="M90" t="n">
        <v>0</v>
      </c>
      <c r="N90" t="n">
        <v>0</v>
      </c>
      <c r="O90" t="n">
        <v>0</v>
      </c>
      <c r="P90" t="n">
        <v>0</v>
      </c>
      <c r="Q90" t="n">
        <v>0</v>
      </c>
      <c r="R90" s="2" t="inlineStr"/>
    </row>
    <row r="91" ht="15" customHeight="1">
      <c r="A91" t="inlineStr">
        <is>
          <t>A 47785-2021</t>
        </is>
      </c>
      <c r="B91" s="1" t="n">
        <v>44448</v>
      </c>
      <c r="C91" s="1" t="n">
        <v>45932</v>
      </c>
      <c r="D91" t="inlineStr">
        <is>
          <t>VÄSTMANLANDS LÄN</t>
        </is>
      </c>
      <c r="E91" t="inlineStr">
        <is>
          <t>SURAHAMMAR</t>
        </is>
      </c>
      <c r="F91" t="inlineStr">
        <is>
          <t>Kommuner</t>
        </is>
      </c>
      <c r="G91" t="n">
        <v>3.3</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45932</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45932</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37798-2021</t>
        </is>
      </c>
      <c r="B94" s="1" t="n">
        <v>44402</v>
      </c>
      <c r="C94" s="1" t="n">
        <v>45932</v>
      </c>
      <c r="D94" t="inlineStr">
        <is>
          <t>VÄSTMANLANDS LÄN</t>
        </is>
      </c>
      <c r="E94" t="inlineStr">
        <is>
          <t>SURAHAMMAR</t>
        </is>
      </c>
      <c r="F94" t="inlineStr">
        <is>
          <t>Kommuner</t>
        </is>
      </c>
      <c r="G94" t="n">
        <v>1.2</v>
      </c>
      <c r="H94" t="n">
        <v>0</v>
      </c>
      <c r="I94" t="n">
        <v>0</v>
      </c>
      <c r="J94" t="n">
        <v>0</v>
      </c>
      <c r="K94" t="n">
        <v>0</v>
      </c>
      <c r="L94" t="n">
        <v>0</v>
      </c>
      <c r="M94" t="n">
        <v>0</v>
      </c>
      <c r="N94" t="n">
        <v>0</v>
      </c>
      <c r="O94" t="n">
        <v>0</v>
      </c>
      <c r="P94" t="n">
        <v>0</v>
      </c>
      <c r="Q94" t="n">
        <v>0</v>
      </c>
      <c r="R94" s="2" t="inlineStr"/>
    </row>
    <row r="95" ht="15" customHeight="1">
      <c r="A95" t="inlineStr">
        <is>
          <t>A 37287-2023</t>
        </is>
      </c>
      <c r="B95" s="1" t="n">
        <v>45156</v>
      </c>
      <c r="C95" s="1" t="n">
        <v>45932</v>
      </c>
      <c r="D95" t="inlineStr">
        <is>
          <t>VÄSTMANLANDS LÄN</t>
        </is>
      </c>
      <c r="E95" t="inlineStr">
        <is>
          <t>SURAHAMMAR</t>
        </is>
      </c>
      <c r="G95" t="n">
        <v>0.6</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45932</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45932</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45932</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16608-2022</t>
        </is>
      </c>
      <c r="B99" s="1" t="n">
        <v>44672</v>
      </c>
      <c r="C99" s="1" t="n">
        <v>45932</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15637-2022</t>
        </is>
      </c>
      <c r="B100" s="1" t="n">
        <v>44662.89638888889</v>
      </c>
      <c r="C100" s="1" t="n">
        <v>45932</v>
      </c>
      <c r="D100" t="inlineStr">
        <is>
          <t>VÄSTMANLANDS LÄN</t>
        </is>
      </c>
      <c r="E100" t="inlineStr">
        <is>
          <t>SURAHAMMAR</t>
        </is>
      </c>
      <c r="G100" t="n">
        <v>2.2</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45932</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41576-2022</t>
        </is>
      </c>
      <c r="B102" s="1" t="n">
        <v>44826</v>
      </c>
      <c r="C102" s="1" t="n">
        <v>45932</v>
      </c>
      <c r="D102" t="inlineStr">
        <is>
          <t>VÄSTMANLANDS LÄN</t>
        </is>
      </c>
      <c r="E102" t="inlineStr">
        <is>
          <t>SURAHAMMAR</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45932</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25450-2024</t>
        </is>
      </c>
      <c r="B104" s="1" t="n">
        <v>45463</v>
      </c>
      <c r="C104" s="1" t="n">
        <v>45932</v>
      </c>
      <c r="D104" t="inlineStr">
        <is>
          <t>VÄSTMANLANDS LÄN</t>
        </is>
      </c>
      <c r="E104" t="inlineStr">
        <is>
          <t>SURAHAMMAR</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38154-2021</t>
        </is>
      </c>
      <c r="B105" s="1" t="n">
        <v>44405.42373842592</v>
      </c>
      <c r="C105" s="1" t="n">
        <v>45932</v>
      </c>
      <c r="D105" t="inlineStr">
        <is>
          <t>VÄSTMANLANDS LÄN</t>
        </is>
      </c>
      <c r="E105" t="inlineStr">
        <is>
          <t>SURAHAMMAR</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45932</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19786-2023</t>
        </is>
      </c>
      <c r="B107" s="1" t="n">
        <v>45050</v>
      </c>
      <c r="C107" s="1" t="n">
        <v>45932</v>
      </c>
      <c r="D107" t="inlineStr">
        <is>
          <t>VÄSTMANLANDS LÄN</t>
        </is>
      </c>
      <c r="E107" t="inlineStr">
        <is>
          <t>SURAHAMMAR</t>
        </is>
      </c>
      <c r="F107" t="inlineStr">
        <is>
          <t>Bergvik skog väst AB</t>
        </is>
      </c>
      <c r="G107" t="n">
        <v>8.1</v>
      </c>
      <c r="H107" t="n">
        <v>0</v>
      </c>
      <c r="I107" t="n">
        <v>0</v>
      </c>
      <c r="J107" t="n">
        <v>0</v>
      </c>
      <c r="K107" t="n">
        <v>0</v>
      </c>
      <c r="L107" t="n">
        <v>0</v>
      </c>
      <c r="M107" t="n">
        <v>0</v>
      </c>
      <c r="N107" t="n">
        <v>0</v>
      </c>
      <c r="O107" t="n">
        <v>0</v>
      </c>
      <c r="P107" t="n">
        <v>0</v>
      </c>
      <c r="Q107" t="n">
        <v>0</v>
      </c>
      <c r="R107" s="2" t="inlineStr"/>
    </row>
    <row r="108" ht="15" customHeight="1">
      <c r="A108" t="inlineStr">
        <is>
          <t>A 19782-2023</t>
        </is>
      </c>
      <c r="B108" s="1" t="n">
        <v>45050</v>
      </c>
      <c r="C108" s="1" t="n">
        <v>45932</v>
      </c>
      <c r="D108" t="inlineStr">
        <is>
          <t>VÄSTMANLANDS LÄN</t>
        </is>
      </c>
      <c r="E108" t="inlineStr">
        <is>
          <t>SURAHAMMAR</t>
        </is>
      </c>
      <c r="F108" t="inlineStr">
        <is>
          <t>Bergvik skog väst AB</t>
        </is>
      </c>
      <c r="G108" t="n">
        <v>5.2</v>
      </c>
      <c r="H108" t="n">
        <v>0</v>
      </c>
      <c r="I108" t="n">
        <v>0</v>
      </c>
      <c r="J108" t="n">
        <v>0</v>
      </c>
      <c r="K108" t="n">
        <v>0</v>
      </c>
      <c r="L108" t="n">
        <v>0</v>
      </c>
      <c r="M108" t="n">
        <v>0</v>
      </c>
      <c r="N108" t="n">
        <v>0</v>
      </c>
      <c r="O108" t="n">
        <v>0</v>
      </c>
      <c r="P108" t="n">
        <v>0</v>
      </c>
      <c r="Q108" t="n">
        <v>0</v>
      </c>
      <c r="R108" s="2" t="inlineStr"/>
    </row>
    <row r="109" ht="15" customHeight="1">
      <c r="A109" t="inlineStr">
        <is>
          <t>A 7787-2024</t>
        </is>
      </c>
      <c r="B109" s="1" t="n">
        <v>45348</v>
      </c>
      <c r="C109" s="1" t="n">
        <v>45932</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45932</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7848-2022</t>
        </is>
      </c>
      <c r="B111" s="1" t="n">
        <v>44608.58400462963</v>
      </c>
      <c r="C111" s="1" t="n">
        <v>45932</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33931-2022</t>
        </is>
      </c>
      <c r="B112" s="1" t="n">
        <v>44790.65153935185</v>
      </c>
      <c r="C112" s="1" t="n">
        <v>45932</v>
      </c>
      <c r="D112" t="inlineStr">
        <is>
          <t>VÄSTMANLANDS LÄN</t>
        </is>
      </c>
      <c r="E112" t="inlineStr">
        <is>
          <t>SURAHAMMAR</t>
        </is>
      </c>
      <c r="G112" t="n">
        <v>2.2</v>
      </c>
      <c r="H112" t="n">
        <v>0</v>
      </c>
      <c r="I112" t="n">
        <v>0</v>
      </c>
      <c r="J112" t="n">
        <v>0</v>
      </c>
      <c r="K112" t="n">
        <v>0</v>
      </c>
      <c r="L112" t="n">
        <v>0</v>
      </c>
      <c r="M112" t="n">
        <v>0</v>
      </c>
      <c r="N112" t="n">
        <v>0</v>
      </c>
      <c r="O112" t="n">
        <v>0</v>
      </c>
      <c r="P112" t="n">
        <v>0</v>
      </c>
      <c r="Q112" t="n">
        <v>0</v>
      </c>
      <c r="R112" s="2" t="inlineStr"/>
    </row>
    <row r="113" ht="15" customHeight="1">
      <c r="A113" t="inlineStr">
        <is>
          <t>A 24167-2024</t>
        </is>
      </c>
      <c r="B113" s="1" t="n">
        <v>45456</v>
      </c>
      <c r="C113" s="1" t="n">
        <v>45932</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45932</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52074-2020</t>
        </is>
      </c>
      <c r="B115" s="1" t="n">
        <v>44117</v>
      </c>
      <c r="C115" s="1" t="n">
        <v>45932</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45932</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11501-2023</t>
        </is>
      </c>
      <c r="B117" s="1" t="n">
        <v>44991</v>
      </c>
      <c r="C117" s="1" t="n">
        <v>45932</v>
      </c>
      <c r="D117" t="inlineStr">
        <is>
          <t>VÄSTMANLANDS LÄN</t>
        </is>
      </c>
      <c r="E117" t="inlineStr">
        <is>
          <t>SURAHAMMAR</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45932</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10396-2025</t>
        </is>
      </c>
      <c r="B119" s="1" t="n">
        <v>45720.60721064815</v>
      </c>
      <c r="C119" s="1" t="n">
        <v>45932</v>
      </c>
      <c r="D119" t="inlineStr">
        <is>
          <t>VÄSTMANLANDS LÄN</t>
        </is>
      </c>
      <c r="E119" t="inlineStr">
        <is>
          <t>SURAHAMMAR</t>
        </is>
      </c>
      <c r="F119" t="inlineStr">
        <is>
          <t>Allmännings- och besparingsskogar</t>
        </is>
      </c>
      <c r="G119" t="n">
        <v>9.300000000000001</v>
      </c>
      <c r="H119" t="n">
        <v>0</v>
      </c>
      <c r="I119" t="n">
        <v>0</v>
      </c>
      <c r="J119" t="n">
        <v>0</v>
      </c>
      <c r="K119" t="n">
        <v>0</v>
      </c>
      <c r="L119" t="n">
        <v>0</v>
      </c>
      <c r="M119" t="n">
        <v>0</v>
      </c>
      <c r="N119" t="n">
        <v>0</v>
      </c>
      <c r="O119" t="n">
        <v>0</v>
      </c>
      <c r="P119" t="n">
        <v>0</v>
      </c>
      <c r="Q119" t="n">
        <v>0</v>
      </c>
      <c r="R119" s="2" t="inlineStr"/>
    </row>
    <row r="120" ht="15" customHeight="1">
      <c r="A120" t="inlineStr">
        <is>
          <t>A 42714-2022</t>
        </is>
      </c>
      <c r="B120" s="1" t="n">
        <v>44832</v>
      </c>
      <c r="C120" s="1" t="n">
        <v>45932</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3818-2022</t>
        </is>
      </c>
      <c r="B121" s="1" t="n">
        <v>44587</v>
      </c>
      <c r="C121" s="1" t="n">
        <v>45932</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45932</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45932</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5567-2022</t>
        </is>
      </c>
      <c r="B124" s="1" t="n">
        <v>44595</v>
      </c>
      <c r="C124" s="1" t="n">
        <v>45932</v>
      </c>
      <c r="D124" t="inlineStr">
        <is>
          <t>VÄSTMANLANDS LÄN</t>
        </is>
      </c>
      <c r="E124" t="inlineStr">
        <is>
          <t>SURAHAMMAR</t>
        </is>
      </c>
      <c r="G124" t="n">
        <v>1.3</v>
      </c>
      <c r="H124" t="n">
        <v>0</v>
      </c>
      <c r="I124" t="n">
        <v>0</v>
      </c>
      <c r="J124" t="n">
        <v>0</v>
      </c>
      <c r="K124" t="n">
        <v>0</v>
      </c>
      <c r="L124" t="n">
        <v>0</v>
      </c>
      <c r="M124" t="n">
        <v>0</v>
      </c>
      <c r="N124" t="n">
        <v>0</v>
      </c>
      <c r="O124" t="n">
        <v>0</v>
      </c>
      <c r="P124" t="n">
        <v>0</v>
      </c>
      <c r="Q124" t="n">
        <v>0</v>
      </c>
      <c r="R124" s="2" t="inlineStr"/>
    </row>
    <row r="125" ht="15" customHeight="1">
      <c r="A125" t="inlineStr">
        <is>
          <t>A 42832-2022</t>
        </is>
      </c>
      <c r="B125" s="1" t="n">
        <v>44832</v>
      </c>
      <c r="C125" s="1" t="n">
        <v>45932</v>
      </c>
      <c r="D125" t="inlineStr">
        <is>
          <t>VÄSTMANLANDS LÄN</t>
        </is>
      </c>
      <c r="E125" t="inlineStr">
        <is>
          <t>SURAHAMMAR</t>
        </is>
      </c>
      <c r="G125" t="n">
        <v>1.1</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45932</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32808-2024</t>
        </is>
      </c>
      <c r="B127" s="1" t="n">
        <v>45516</v>
      </c>
      <c r="C127" s="1" t="n">
        <v>45932</v>
      </c>
      <c r="D127" t="inlineStr">
        <is>
          <t>VÄSTMANLANDS LÄN</t>
        </is>
      </c>
      <c r="E127" t="inlineStr">
        <is>
          <t>SURAHAMMAR</t>
        </is>
      </c>
      <c r="F127" t="inlineStr">
        <is>
          <t>Övriga Aktiebolag</t>
        </is>
      </c>
      <c r="G127" t="n">
        <v>1.9</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45932</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34584-2025</t>
        </is>
      </c>
      <c r="B129" s="1" t="n">
        <v>45846</v>
      </c>
      <c r="C129" s="1" t="n">
        <v>45932</v>
      </c>
      <c r="D129" t="inlineStr">
        <is>
          <t>VÄSTMANLANDS LÄN</t>
        </is>
      </c>
      <c r="E129" t="inlineStr">
        <is>
          <t>SURAHAMMAR</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42841-2022</t>
        </is>
      </c>
      <c r="B130" s="1" t="n">
        <v>44832</v>
      </c>
      <c r="C130" s="1" t="n">
        <v>45932</v>
      </c>
      <c r="D130" t="inlineStr">
        <is>
          <t>VÄSTMANLANDS LÄN</t>
        </is>
      </c>
      <c r="E130" t="inlineStr">
        <is>
          <t>SURAHAMMAR</t>
        </is>
      </c>
      <c r="G130" t="n">
        <v>1.8</v>
      </c>
      <c r="H130" t="n">
        <v>0</v>
      </c>
      <c r="I130" t="n">
        <v>0</v>
      </c>
      <c r="J130" t="n">
        <v>0</v>
      </c>
      <c r="K130" t="n">
        <v>0</v>
      </c>
      <c r="L130" t="n">
        <v>0</v>
      </c>
      <c r="M130" t="n">
        <v>0</v>
      </c>
      <c r="N130" t="n">
        <v>0</v>
      </c>
      <c r="O130" t="n">
        <v>0</v>
      </c>
      <c r="P130" t="n">
        <v>0</v>
      </c>
      <c r="Q130" t="n">
        <v>0</v>
      </c>
      <c r="R130" s="2" t="inlineStr"/>
    </row>
    <row r="131" ht="15" customHeight="1">
      <c r="A131" t="inlineStr">
        <is>
          <t>A 32916-2025</t>
        </is>
      </c>
      <c r="B131" s="1" t="n">
        <v>45839</v>
      </c>
      <c r="C131" s="1" t="n">
        <v>45932</v>
      </c>
      <c r="D131" t="inlineStr">
        <is>
          <t>VÄSTMANLANDS LÄN</t>
        </is>
      </c>
      <c r="E131" t="inlineStr">
        <is>
          <t>SURAHAMMAR</t>
        </is>
      </c>
      <c r="F131" t="inlineStr">
        <is>
          <t>Kommuner</t>
        </is>
      </c>
      <c r="G131" t="n">
        <v>4.9</v>
      </c>
      <c r="H131" t="n">
        <v>0</v>
      </c>
      <c r="I131" t="n">
        <v>0</v>
      </c>
      <c r="J131" t="n">
        <v>0</v>
      </c>
      <c r="K131" t="n">
        <v>0</v>
      </c>
      <c r="L131" t="n">
        <v>0</v>
      </c>
      <c r="M131" t="n">
        <v>0</v>
      </c>
      <c r="N131" t="n">
        <v>0</v>
      </c>
      <c r="O131" t="n">
        <v>0</v>
      </c>
      <c r="P131" t="n">
        <v>0</v>
      </c>
      <c r="Q131" t="n">
        <v>0</v>
      </c>
      <c r="R131" s="2" t="inlineStr"/>
    </row>
    <row r="132" ht="15" customHeight="1">
      <c r="A132" t="inlineStr">
        <is>
          <t>A 32910-2025</t>
        </is>
      </c>
      <c r="B132" s="1" t="n">
        <v>45839</v>
      </c>
      <c r="C132" s="1" t="n">
        <v>45932</v>
      </c>
      <c r="D132" t="inlineStr">
        <is>
          <t>VÄSTMANLANDS LÄN</t>
        </is>
      </c>
      <c r="E132" t="inlineStr">
        <is>
          <t>SURAHAMMAR</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45932</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42088-2025</t>
        </is>
      </c>
      <c r="B134" s="1" t="n">
        <v>45902</v>
      </c>
      <c r="C134" s="1" t="n">
        <v>45932</v>
      </c>
      <c r="D134" t="inlineStr">
        <is>
          <t>VÄSTMANLANDS LÄN</t>
        </is>
      </c>
      <c r="E134" t="inlineStr">
        <is>
          <t>SURAHAMMAR</t>
        </is>
      </c>
      <c r="G134" t="n">
        <v>1</v>
      </c>
      <c r="H134" t="n">
        <v>0</v>
      </c>
      <c r="I134" t="n">
        <v>0</v>
      </c>
      <c r="J134" t="n">
        <v>0</v>
      </c>
      <c r="K134" t="n">
        <v>0</v>
      </c>
      <c r="L134" t="n">
        <v>0</v>
      </c>
      <c r="M134" t="n">
        <v>0</v>
      </c>
      <c r="N134" t="n">
        <v>0</v>
      </c>
      <c r="O134" t="n">
        <v>0</v>
      </c>
      <c r="P134" t="n">
        <v>0</v>
      </c>
      <c r="Q134" t="n">
        <v>0</v>
      </c>
      <c r="R134" s="2" t="inlineStr"/>
    </row>
    <row r="135" ht="15" customHeight="1">
      <c r="A135" t="inlineStr">
        <is>
          <t>A 21509-2024</t>
        </is>
      </c>
      <c r="B135" s="1" t="n">
        <v>45441</v>
      </c>
      <c r="C135" s="1" t="n">
        <v>45932</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22662-2023</t>
        </is>
      </c>
      <c r="B136" s="1" t="n">
        <v>45071</v>
      </c>
      <c r="C136" s="1" t="n">
        <v>45932</v>
      </c>
      <c r="D136" t="inlineStr">
        <is>
          <t>VÄSTMANLANDS LÄN</t>
        </is>
      </c>
      <c r="E136" t="inlineStr">
        <is>
          <t>SURAHAMMAR</t>
        </is>
      </c>
      <c r="F136" t="inlineStr">
        <is>
          <t>Sveaskog</t>
        </is>
      </c>
      <c r="G136" t="n">
        <v>0.6</v>
      </c>
      <c r="H136" t="n">
        <v>0</v>
      </c>
      <c r="I136" t="n">
        <v>0</v>
      </c>
      <c r="J136" t="n">
        <v>0</v>
      </c>
      <c r="K136" t="n">
        <v>0</v>
      </c>
      <c r="L136" t="n">
        <v>0</v>
      </c>
      <c r="M136" t="n">
        <v>0</v>
      </c>
      <c r="N136" t="n">
        <v>0</v>
      </c>
      <c r="O136" t="n">
        <v>0</v>
      </c>
      <c r="P136" t="n">
        <v>0</v>
      </c>
      <c r="Q136" t="n">
        <v>0</v>
      </c>
      <c r="R136" s="2" t="inlineStr"/>
    </row>
    <row r="137" ht="15" customHeight="1">
      <c r="A137" t="inlineStr">
        <is>
          <t>A 2867-2024</t>
        </is>
      </c>
      <c r="B137" s="1" t="n">
        <v>45315</v>
      </c>
      <c r="C137" s="1" t="n">
        <v>45932</v>
      </c>
      <c r="D137" t="inlineStr">
        <is>
          <t>VÄSTMANLANDS LÄN</t>
        </is>
      </c>
      <c r="E137" t="inlineStr">
        <is>
          <t>SURAHAMMAR</t>
        </is>
      </c>
      <c r="F137" t="inlineStr">
        <is>
          <t>Bergvik skog väst AB</t>
        </is>
      </c>
      <c r="G137" t="n">
        <v>1.4</v>
      </c>
      <c r="H137" t="n">
        <v>0</v>
      </c>
      <c r="I137" t="n">
        <v>0</v>
      </c>
      <c r="J137" t="n">
        <v>0</v>
      </c>
      <c r="K137" t="n">
        <v>0</v>
      </c>
      <c r="L137" t="n">
        <v>0</v>
      </c>
      <c r="M137" t="n">
        <v>0</v>
      </c>
      <c r="N137" t="n">
        <v>0</v>
      </c>
      <c r="O137" t="n">
        <v>0</v>
      </c>
      <c r="P137" t="n">
        <v>0</v>
      </c>
      <c r="Q137" t="n">
        <v>0</v>
      </c>
      <c r="R137" s="2" t="inlineStr"/>
    </row>
    <row r="138" ht="15" customHeight="1">
      <c r="A138" t="inlineStr">
        <is>
          <t>A 43255-2025</t>
        </is>
      </c>
      <c r="B138" s="1" t="n">
        <v>45910.55325231481</v>
      </c>
      <c r="C138" s="1" t="n">
        <v>45932</v>
      </c>
      <c r="D138" t="inlineStr">
        <is>
          <t>VÄSTMANLANDS LÄN</t>
        </is>
      </c>
      <c r="E138" t="inlineStr">
        <is>
          <t>SURAHAMMAR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16013-2023</t>
        </is>
      </c>
      <c r="B139" s="1" t="n">
        <v>45026</v>
      </c>
      <c r="C139" s="1" t="n">
        <v>45932</v>
      </c>
      <c r="D139" t="inlineStr">
        <is>
          <t>VÄSTMANLANDS LÄN</t>
        </is>
      </c>
      <c r="E139" t="inlineStr">
        <is>
          <t>SURAHAMMAR</t>
        </is>
      </c>
      <c r="G139" t="n">
        <v>3.9</v>
      </c>
      <c r="H139" t="n">
        <v>0</v>
      </c>
      <c r="I139" t="n">
        <v>0</v>
      </c>
      <c r="J139" t="n">
        <v>0</v>
      </c>
      <c r="K139" t="n">
        <v>0</v>
      </c>
      <c r="L139" t="n">
        <v>0</v>
      </c>
      <c r="M139" t="n">
        <v>0</v>
      </c>
      <c r="N139" t="n">
        <v>0</v>
      </c>
      <c r="O139" t="n">
        <v>0</v>
      </c>
      <c r="P139" t="n">
        <v>0</v>
      </c>
      <c r="Q139" t="n">
        <v>0</v>
      </c>
      <c r="R139" s="2" t="inlineStr"/>
    </row>
    <row r="140" ht="15" customHeight="1">
      <c r="A140" t="inlineStr">
        <is>
          <t>A 43249-2025</t>
        </is>
      </c>
      <c r="B140" s="1" t="n">
        <v>45910.55059027778</v>
      </c>
      <c r="C140" s="1" t="n">
        <v>45932</v>
      </c>
      <c r="D140" t="inlineStr">
        <is>
          <t>VÄSTMANLANDS LÄN</t>
        </is>
      </c>
      <c r="E140" t="inlineStr">
        <is>
          <t>SURAHAMMAR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41555-2022</t>
        </is>
      </c>
      <c r="B141" s="1" t="n">
        <v>44826</v>
      </c>
      <c r="C141" s="1" t="n">
        <v>45932</v>
      </c>
      <c r="D141" t="inlineStr">
        <is>
          <t>VÄSTMANLANDS LÄN</t>
        </is>
      </c>
      <c r="E141" t="inlineStr">
        <is>
          <t>SURAHAMMAR</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45932</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37013-2025</t>
        </is>
      </c>
      <c r="B143" s="1" t="n">
        <v>45874</v>
      </c>
      <c r="C143" s="1" t="n">
        <v>45932</v>
      </c>
      <c r="D143" t="inlineStr">
        <is>
          <t>VÄSTMANLANDS LÄN</t>
        </is>
      </c>
      <c r="E143" t="inlineStr">
        <is>
          <t>SURAHAMMAR</t>
        </is>
      </c>
      <c r="F143" t="inlineStr">
        <is>
          <t>Bergvik skog väst AB</t>
        </is>
      </c>
      <c r="G143" t="n">
        <v>10.7</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45932</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45932</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49060-2024</t>
        </is>
      </c>
      <c r="B146" s="1" t="n">
        <v>45594</v>
      </c>
      <c r="C146" s="1" t="n">
        <v>45932</v>
      </c>
      <c r="D146" t="inlineStr">
        <is>
          <t>VÄSTMANLANDS LÄN</t>
        </is>
      </c>
      <c r="E146" t="inlineStr">
        <is>
          <t>SURAHAMMAR</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37954-2025</t>
        </is>
      </c>
      <c r="B147" s="1" t="n">
        <v>45881</v>
      </c>
      <c r="C147" s="1" t="n">
        <v>45932</v>
      </c>
      <c r="D147" t="inlineStr">
        <is>
          <t>VÄSTMANLANDS LÄN</t>
        </is>
      </c>
      <c r="E147" t="inlineStr">
        <is>
          <t>SURAHAMMAR</t>
        </is>
      </c>
      <c r="G147" t="n">
        <v>9.5</v>
      </c>
      <c r="H147" t="n">
        <v>0</v>
      </c>
      <c r="I147" t="n">
        <v>0</v>
      </c>
      <c r="J147" t="n">
        <v>0</v>
      </c>
      <c r="K147" t="n">
        <v>0</v>
      </c>
      <c r="L147" t="n">
        <v>0</v>
      </c>
      <c r="M147" t="n">
        <v>0</v>
      </c>
      <c r="N147" t="n">
        <v>0</v>
      </c>
      <c r="O147" t="n">
        <v>0</v>
      </c>
      <c r="P147" t="n">
        <v>0</v>
      </c>
      <c r="Q147" t="n">
        <v>0</v>
      </c>
      <c r="R147" s="2" t="inlineStr"/>
    </row>
    <row r="148" ht="15" customHeight="1">
      <c r="A148" t="inlineStr">
        <is>
          <t>A 13386-2025</t>
        </is>
      </c>
      <c r="B148" s="1" t="n">
        <v>45735</v>
      </c>
      <c r="C148" s="1" t="n">
        <v>45932</v>
      </c>
      <c r="D148" t="inlineStr">
        <is>
          <t>VÄSTMANLANDS LÄN</t>
        </is>
      </c>
      <c r="E148" t="inlineStr">
        <is>
          <t>SURAHAMMAR</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34955-2022</t>
        </is>
      </c>
      <c r="B149" s="1" t="n">
        <v>44796</v>
      </c>
      <c r="C149" s="1" t="n">
        <v>45932</v>
      </c>
      <c r="D149" t="inlineStr">
        <is>
          <t>VÄSTMANLANDS LÄN</t>
        </is>
      </c>
      <c r="E149" t="inlineStr">
        <is>
          <t>SURAHAMMAR</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20904-2023</t>
        </is>
      </c>
      <c r="B150" s="1" t="n">
        <v>45060</v>
      </c>
      <c r="C150" s="1" t="n">
        <v>45932</v>
      </c>
      <c r="D150" t="inlineStr">
        <is>
          <t>VÄSTMANLANDS LÄN</t>
        </is>
      </c>
      <c r="E150" t="inlineStr">
        <is>
          <t>SURAHAMMAR</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10883-2023</t>
        </is>
      </c>
      <c r="B151" s="1" t="n">
        <v>44991</v>
      </c>
      <c r="C151" s="1" t="n">
        <v>45932</v>
      </c>
      <c r="D151" t="inlineStr">
        <is>
          <t>VÄSTMANLANDS LÄN</t>
        </is>
      </c>
      <c r="E151" t="inlineStr">
        <is>
          <t>SURAHAMMAR</t>
        </is>
      </c>
      <c r="F151" t="inlineStr">
        <is>
          <t>Övriga Aktiebolag</t>
        </is>
      </c>
      <c r="G151" t="n">
        <v>12.5</v>
      </c>
      <c r="H151" t="n">
        <v>0</v>
      </c>
      <c r="I151" t="n">
        <v>0</v>
      </c>
      <c r="J151" t="n">
        <v>0</v>
      </c>
      <c r="K151" t="n">
        <v>0</v>
      </c>
      <c r="L151" t="n">
        <v>0</v>
      </c>
      <c r="M151" t="n">
        <v>0</v>
      </c>
      <c r="N151" t="n">
        <v>0</v>
      </c>
      <c r="O151" t="n">
        <v>0</v>
      </c>
      <c r="P151" t="n">
        <v>0</v>
      </c>
      <c r="Q151" t="n">
        <v>0</v>
      </c>
      <c r="R151" s="2" t="inlineStr"/>
    </row>
    <row r="152">
      <c r="A152" t="inlineStr">
        <is>
          <t>A 2660-2024</t>
        </is>
      </c>
      <c r="B152" s="1" t="n">
        <v>45310</v>
      </c>
      <c r="C152" s="1" t="n">
        <v>45932</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2025-10-02T12:47:06Z</dcterms:created>
  <dcterms:modified xmlns:dcterms="http://purl.org/dc/terms/" xmlns:xsi="http://www.w3.org/2001/XMLSchema-instance" xsi:type="dcterms:W3CDTF">2025-10-02T12:47:06Z</dcterms:modified>
</cp:coreProperties>
</file>