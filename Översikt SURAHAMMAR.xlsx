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46278</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46278</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46278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46278</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46278</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46278</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46278</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46278</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46278</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46278</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46278</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46278</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46278</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46278</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46278</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46278</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46278</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46278</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46278</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46278</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46278</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46278</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46278</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38172-2024</t>
        </is>
      </c>
      <c r="B31" t="inlineStr">
        <is>
          <t>avverkningsanmälan</t>
        </is>
      </c>
      <c r="C31" t="inlineStr">
        <is>
          <t>Avverkning för att bevara och utveckla /försöksver</t>
        </is>
      </c>
      <c r="D31" s="1" t="n">
        <v>45545</v>
      </c>
      <c r="E31" s="1" t="n">
        <v>46278</v>
      </c>
      <c r="F31" t="inlineStr">
        <is>
          <t>VÄSTMANLANDS LÄN</t>
        </is>
      </c>
      <c r="G31" t="inlineStr">
        <is>
          <t>SURAHAMMAR</t>
        </is>
      </c>
      <c r="H31" t="inlineStr">
        <is>
          <t>Sveaskog</t>
        </is>
      </c>
      <c r="I31" t="n">
        <v>5.2</v>
      </c>
      <c r="J31" t="n">
        <v>5</v>
      </c>
      <c r="K31" t="n">
        <v>0</v>
      </c>
      <c r="L31" t="n">
        <v>3</v>
      </c>
      <c r="M31" t="n">
        <v>1</v>
      </c>
      <c r="N31" t="n">
        <v>0</v>
      </c>
      <c r="O31" t="n">
        <v>0</v>
      </c>
      <c r="P31" t="n">
        <v>0</v>
      </c>
      <c r="Q31" t="n">
        <v>4</v>
      </c>
      <c r="R31" t="n">
        <v>1</v>
      </c>
      <c r="S31" t="n">
        <v>7</v>
      </c>
      <c r="T31" t="n">
        <v>8</v>
      </c>
      <c r="U31" t="n">
        <v>2</v>
      </c>
      <c r="V31" s="2" t="inlineStr">
        <is>
          <t>Knärot
Gropticka
Sädesärla
Vedtrappmossa
Stjärtmes
Lopplummer (aggregat)
Revlummer</t>
        </is>
      </c>
      <c r="W31">
        <f>HYPERLINK("https://klasma.github.io/Logging_1907/artfynd/A 38172-2024 artfynd.xlsx", "A 38172-2024")</f>
        <v/>
      </c>
      <c r="X31">
        <f>HYPERLINK("https://klasma.github.io/Logging_1907/kartor/A 38172-2024 karta.png", "A 38172-2024")</f>
        <v/>
      </c>
      <c r="Y31">
        <f>HYPERLINK("https://klasma.github.io/Logging_1907/kartor_geotiff/A 38172-2024 georefererad karta.tif", "A 38172-2024")</f>
        <v/>
      </c>
      <c r="Z31">
        <f>HYPERLINK("https://klasma.github.io/Logging_1907/knärot/A 38172-2024 karta knärot.png", "A 38172-2024")</f>
        <v/>
      </c>
      <c r="AA31">
        <f>HYPERLINK("https://klasma.github.io/Logging_1907/klagomål/A 38172-2024 FSC-klagomål.docx", "A 38172-2024")</f>
        <v/>
      </c>
      <c r="AB31">
        <f>HYPERLINK("https://klasma.github.io/Logging_1907/klagomålsmail/A 38172-2024 FSC-klagomål mail.docx", "A 38172-2024")</f>
        <v/>
      </c>
      <c r="AC31">
        <f>HYPERLINK("https://klasma.github.io/Logging_1907/tillsyn/A 38172-2024 tillsynsbegäran.docx", "A 38172-2024")</f>
        <v/>
      </c>
      <c r="AD31">
        <f>HYPERLINK("https://klasma.github.io/Logging_1907/tillsynsmail/A 38172-2024 tillsynsbegäran mail.docx", "A 38172-2024")</f>
        <v/>
      </c>
      <c r="AE31">
        <f>HYPERLINK("https://klasma.github.io/Logging_1907/fåglar/A 38172-2024 prioriterade fågelarter.docx", "A 38172-2024")</f>
        <v/>
      </c>
    </row>
    <row r="32" ht="15" customHeight="1">
      <c r="A32" t="inlineStr">
        <is>
          <t>S 2882-2025</t>
        </is>
      </c>
      <c r="B32" t="inlineStr">
        <is>
          <t>samrådsanmälan</t>
        </is>
      </c>
      <c r="C32" t="inlineStr">
        <is>
          <t>Annan skogsbruksåtgärd</t>
        </is>
      </c>
      <c r="D32" s="1" t="n">
        <v>45945</v>
      </c>
      <c r="E32" s="1" t="n">
        <v>46278</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46278</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46278</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46278</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46278</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46278</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46278</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46278</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46278</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46278</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46278</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46278</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46278</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39694-2025</t>
        </is>
      </c>
      <c r="B45" t="inlineStr">
        <is>
          <t>avverkningsanmälan</t>
        </is>
      </c>
      <c r="C45" t="inlineStr">
        <is>
          <t>Föryngringsavverkning</t>
        </is>
      </c>
      <c r="D45" s="1" t="n">
        <v>45890</v>
      </c>
      <c r="E45" s="1" t="n">
        <v>46278</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63146-2025</t>
        </is>
      </c>
      <c r="B46" t="inlineStr">
        <is>
          <t>avverkningsanmälan</t>
        </is>
      </c>
      <c r="C46" t="inlineStr">
        <is>
          <t>Föryngringsavverkning</t>
        </is>
      </c>
      <c r="D46" s="1" t="n">
        <v>46009</v>
      </c>
      <c r="E46" s="1" t="n">
        <v>46278</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46278</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42765-2022</t>
        </is>
      </c>
      <c r="B48" t="inlineStr">
        <is>
          <t>avverkningsanmälan</t>
        </is>
      </c>
      <c r="C48" t="inlineStr">
        <is>
          <t>Avverkning för annat ändamål</t>
        </is>
      </c>
      <c r="D48" s="1" t="n">
        <v>44832</v>
      </c>
      <c r="E48" s="1" t="n">
        <v>46278</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48128-2023</t>
        </is>
      </c>
      <c r="B49" t="inlineStr">
        <is>
          <t>avverkningsanmälan</t>
        </is>
      </c>
      <c r="C49" t="inlineStr">
        <is>
          <t>Föryngringsavverkning</t>
        </is>
      </c>
      <c r="D49" s="1" t="n">
        <v>45205</v>
      </c>
      <c r="E49" s="1" t="n">
        <v>46278</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46278</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46278</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46278</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46278</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46278</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46278</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46278</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46278</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46278</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46278</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37013-2025</t>
        </is>
      </c>
      <c r="B60" t="inlineStr">
        <is>
          <t>avverkningsanmälan</t>
        </is>
      </c>
      <c r="C60" t="inlineStr">
        <is>
          <t>Föryngringsavverkning</t>
        </is>
      </c>
      <c r="D60" s="1" t="n">
        <v>45874</v>
      </c>
      <c r="E60" s="1" t="n">
        <v>46278</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46278</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46278</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30074-2023</t>
        </is>
      </c>
      <c r="B63" t="inlineStr">
        <is>
          <t>avverkningsanmälan</t>
        </is>
      </c>
      <c r="C63" t="inlineStr">
        <is>
          <t>Föryngringsavverkning</t>
        </is>
      </c>
      <c r="D63" s="1" t="n">
        <v>45110</v>
      </c>
      <c r="E63" s="1" t="n">
        <v>46278</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63138-2025</t>
        </is>
      </c>
      <c r="B64" t="inlineStr">
        <is>
          <t>avverkningsanmälan</t>
        </is>
      </c>
      <c r="C64" t="inlineStr">
        <is>
          <t>Föryngringsavverkning</t>
        </is>
      </c>
      <c r="D64" s="1" t="n">
        <v>46009</v>
      </c>
      <c r="E64" s="1" t="n">
        <v>46278</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t="n">
        <v>2</v>
      </c>
      <c r="V64" s="2" t="inlineStr">
        <is>
          <t>Mindre märgborre
Tjäder</t>
        </is>
      </c>
      <c r="W64">
        <f>HYPERLINK("https://klasma.github.io/Logging_1907/artfynd/A 63138-2025 artfynd.xlsx", "A 63138-2025")</f>
        <v/>
      </c>
      <c r="X64">
        <f>HYPERLINK("https://klasma.github.io/Logging_1907/kartor/A 63138-2025 karta.png", "A 63138-2025")</f>
        <v/>
      </c>
      <c r="Y64">
        <f>HYPERLINK("https://klasma.github.io/Logging_1907/kartor_geotiff/A 63138-2025 georefererad karta.tif", "A 63138-2025")</f>
        <v/>
      </c>
      <c r="AA64">
        <f>HYPERLINK("https://klasma.github.io/Logging_1907/klagomål/A 63138-2025 FSC-klagomål.docx", "A 63138-2025")</f>
        <v/>
      </c>
      <c r="AB64">
        <f>HYPERLINK("https://klasma.github.io/Logging_1907/klagomålsmail/A 63138-2025 FSC-klagomål mail.docx", "A 63138-2025")</f>
        <v/>
      </c>
      <c r="AC64">
        <f>HYPERLINK("https://klasma.github.io/Logging_1907/tillsyn/A 63138-2025 tillsynsbegäran.docx", "A 63138-2025")</f>
        <v/>
      </c>
      <c r="AD64">
        <f>HYPERLINK("https://klasma.github.io/Logging_1907/tillsynsmail/A 63138-2025 tillsynsbegäran mail.docx", "A 63138-2025")</f>
        <v/>
      </c>
      <c r="AE64">
        <f>HYPERLINK("https://klasma.github.io/Logging_1907/fåglar/A 63138-2025 prioriterade fågelarter.docx", "A 63138-2025")</f>
        <v/>
      </c>
    </row>
    <row r="65" ht="15" customHeight="1">
      <c r="A65" t="inlineStr">
        <is>
          <t>A 13971-2023</t>
        </is>
      </c>
      <c r="B65" t="inlineStr">
        <is>
          <t>avverkningsanmälan</t>
        </is>
      </c>
      <c r="C65" t="inlineStr">
        <is>
          <t>Föryngringsavverkning</t>
        </is>
      </c>
      <c r="D65" s="1" t="n">
        <v>45007</v>
      </c>
      <c r="E65" s="1" t="n">
        <v>46278</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36261-2026</t>
        </is>
      </c>
      <c r="B66" t="inlineStr">
        <is>
          <t>avverkningsanmälan</t>
        </is>
      </c>
      <c r="C66" t="inlineStr">
        <is>
          <t>Föryngringsavverkning</t>
        </is>
      </c>
      <c r="D66" s="1" t="n">
        <v>46268</v>
      </c>
      <c r="E66" s="1" t="n">
        <v>46278</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13788-2025</t>
        </is>
      </c>
      <c r="B67" t="inlineStr">
        <is>
          <t>avverkningsanmälan</t>
        </is>
      </c>
      <c r="C67" t="inlineStr">
        <is>
          <t>Föryngringsavverkning</t>
        </is>
      </c>
      <c r="D67" s="1" t="n">
        <v>45737</v>
      </c>
      <c r="E67" s="1" t="n">
        <v>46278</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46278</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46278</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46278</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46278</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46278</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46278</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46278</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34584-2025</t>
        </is>
      </c>
      <c r="B75" t="inlineStr">
        <is>
          <t>avverkningsanmälan</t>
        </is>
      </c>
      <c r="C75" t="inlineStr">
        <is>
          <t>Föryngringsavverkning</t>
        </is>
      </c>
      <c r="D75" s="1" t="n">
        <v>45846</v>
      </c>
      <c r="E75" s="1" t="n">
        <v>46278</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16013-2023</t>
        </is>
      </c>
      <c r="B76" t="inlineStr">
        <is>
          <t>avverkningsanmälan</t>
        </is>
      </c>
      <c r="C76" t="inlineStr">
        <is>
          <t>Föryngringsavverkning</t>
        </is>
      </c>
      <c r="D76" s="1" t="n">
        <v>45026</v>
      </c>
      <c r="E76" s="1" t="n">
        <v>46278</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46278</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46278</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46278</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46278</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46278</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46278</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46278</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46278</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46278</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46278</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46278</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46278</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46278</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46278</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46278</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46278</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46278</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46278</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46278</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24158-2023</t>
        </is>
      </c>
      <c r="B96" t="inlineStr">
        <is>
          <t>avverkningsanmälan</t>
        </is>
      </c>
      <c r="C96" t="inlineStr">
        <is>
          <t>Föryngringsavverkning</t>
        </is>
      </c>
      <c r="D96" s="1" t="n">
        <v>45079</v>
      </c>
      <c r="E96" s="1" t="n">
        <v>46278</v>
      </c>
      <c r="F96" t="inlineStr">
        <is>
          <t>VÄSTMANLANDS LÄN</t>
        </is>
      </c>
      <c r="G96" t="inlineStr">
        <is>
          <t>SURAHAMMAR</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46278</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46278</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3818-2022</t>
        </is>
      </c>
      <c r="B99" t="inlineStr">
        <is>
          <t>avverkningsanmälan</t>
        </is>
      </c>
      <c r="C99" t="inlineStr">
        <is>
          <t>Föryngringsavverkning</t>
        </is>
      </c>
      <c r="D99" s="1" t="n">
        <v>44587</v>
      </c>
      <c r="E99" s="1" t="n">
        <v>46278</v>
      </c>
      <c r="F99" t="inlineStr">
        <is>
          <t>VÄSTMANLANDS LÄN</t>
        </is>
      </c>
      <c r="G99" t="inlineStr">
        <is>
          <t>SURAHAMMAR</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19782-2023</t>
        </is>
      </c>
      <c r="B100" t="inlineStr">
        <is>
          <t>avverkningsanmälan</t>
        </is>
      </c>
      <c r="C100" t="inlineStr">
        <is>
          <t>Föryngringsavverkning</t>
        </is>
      </c>
      <c r="D100" s="1" t="n">
        <v>45050</v>
      </c>
      <c r="E100" s="1" t="n">
        <v>46278</v>
      </c>
      <c r="F100" t="inlineStr">
        <is>
          <t>VÄSTMANLANDS LÄN</t>
        </is>
      </c>
      <c r="G100" t="inlineStr">
        <is>
          <t>SURAHAMMAR</t>
        </is>
      </c>
      <c r="H100" t="inlineStr">
        <is>
          <t>Bergvik skog väst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14626-2023</t>
        </is>
      </c>
      <c r="B101" t="inlineStr">
        <is>
          <t>avverkningsanmälan</t>
        </is>
      </c>
      <c r="C101" t="inlineStr">
        <is>
          <t>Föryngringsavverkning</t>
        </is>
      </c>
      <c r="D101" s="1" t="n">
        <v>45012</v>
      </c>
      <c r="E101" s="1" t="n">
        <v>46278</v>
      </c>
      <c r="F101" t="inlineStr">
        <is>
          <t>VÄSTMANLANDS LÄN</t>
        </is>
      </c>
      <c r="G101" t="inlineStr">
        <is>
          <t>SURAHAMMAR</t>
        </is>
      </c>
      <c r="H101" t="inlineStr">
        <is>
          <t>Bergvik skog väst AB</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56378-2023</t>
        </is>
      </c>
      <c r="B102" t="inlineStr">
        <is>
          <t>avverkningsanmälan</t>
        </is>
      </c>
      <c r="C102" t="inlineStr">
        <is>
          <t>Föryngringsavverkning</t>
        </is>
      </c>
      <c r="D102" s="1" t="n">
        <v>45236</v>
      </c>
      <c r="E102" s="1" t="n">
        <v>46278</v>
      </c>
      <c r="F102" t="inlineStr">
        <is>
          <t>VÄSTMANLANDS LÄN</t>
        </is>
      </c>
      <c r="G102" t="inlineStr">
        <is>
          <t>SURAHAMMAR</t>
        </is>
      </c>
      <c r="H102" t="inlineStr">
        <is>
          <t>Bergvik skog väst AB</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11728-2023</t>
        </is>
      </c>
      <c r="B103" t="inlineStr">
        <is>
          <t>avverkningsanmälan</t>
        </is>
      </c>
      <c r="C103" t="inlineStr">
        <is>
          <t>Avverkning för att bevara och utveckla /försöksver</t>
        </is>
      </c>
      <c r="D103" s="1" t="n">
        <v>44993</v>
      </c>
      <c r="E103" s="1" t="n">
        <v>46278</v>
      </c>
      <c r="F103" t="inlineStr">
        <is>
          <t>VÄSTMANLANDS LÄN</t>
        </is>
      </c>
      <c r="G103" t="inlineStr">
        <is>
          <t>SURAHAMMAR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10244-2026</t>
        </is>
      </c>
      <c r="B104" t="inlineStr">
        <is>
          <t>avverkningsanmälan</t>
        </is>
      </c>
      <c r="C104" t="inlineStr">
        <is>
          <t>Föryngringsavverkning</t>
        </is>
      </c>
      <c r="D104" s="1" t="n">
        <v>46076</v>
      </c>
      <c r="E104" s="1" t="n">
        <v>46278</v>
      </c>
      <c r="F104" t="inlineStr">
        <is>
          <t>VÄSTMANLANDS LÄN</t>
        </is>
      </c>
      <c r="G104" t="inlineStr">
        <is>
          <t>SURAHAMMAR</t>
        </is>
      </c>
      <c r="H104" t="inlineStr">
        <is>
          <t>Allmännings- och besparingsskogar</t>
        </is>
      </c>
      <c r="I104" t="n">
        <v>8.699999999999999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10249-2026</t>
        </is>
      </c>
      <c r="B105" t="inlineStr">
        <is>
          <t>avverkningsanmälan</t>
        </is>
      </c>
      <c r="C105" t="inlineStr">
        <is>
          <t>Föryngringsavverkning</t>
        </is>
      </c>
      <c r="D105" s="1" t="n">
        <v>46076</v>
      </c>
      <c r="E105" s="1" t="n">
        <v>46278</v>
      </c>
      <c r="F105" t="inlineStr">
        <is>
          <t>VÄSTMANLANDS LÄN</t>
        </is>
      </c>
      <c r="G105" t="inlineStr">
        <is>
          <t>SURAHAMMAR</t>
        </is>
      </c>
      <c r="H105" t="inlineStr">
        <is>
          <t>Allmännings- och besparingsskogar</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10562-2026</t>
        </is>
      </c>
      <c r="B106" t="inlineStr">
        <is>
          <t>avverkningsanmälan</t>
        </is>
      </c>
      <c r="C106" t="inlineStr">
        <is>
          <t>Föryngringsavverkning</t>
        </is>
      </c>
      <c r="D106" s="1" t="n">
        <v>46077</v>
      </c>
      <c r="E106" s="1" t="n">
        <v>46278</v>
      </c>
      <c r="F106" t="inlineStr">
        <is>
          <t>VÄSTMANLANDS LÄN</t>
        </is>
      </c>
      <c r="G106" t="inlineStr">
        <is>
          <t>SURAHAMMAR</t>
        </is>
      </c>
      <c r="H106" t="inlineStr">
        <is>
          <t>Övriga Aktiebolag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37954-2025</t>
        </is>
      </c>
      <c r="B107" t="inlineStr">
        <is>
          <t>avverkningsanmälan</t>
        </is>
      </c>
      <c r="C107" t="inlineStr">
        <is>
          <t>Föryngringsavverkning</t>
        </is>
      </c>
      <c r="D107" s="1" t="n">
        <v>45881</v>
      </c>
      <c r="E107" s="1" t="n">
        <v>46278</v>
      </c>
      <c r="F107" t="inlineStr">
        <is>
          <t>VÄSTMANLANDS LÄN</t>
        </is>
      </c>
      <c r="G107" t="inlineStr">
        <is>
          <t>SURAHAMMAR</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46278</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42829-2022</t>
        </is>
      </c>
      <c r="B109" t="inlineStr">
        <is>
          <t>avverkningsanmälan</t>
        </is>
      </c>
      <c r="C109" t="inlineStr">
        <is>
          <t>Avverkning för annat ändamål</t>
        </is>
      </c>
      <c r="D109" s="1" t="n">
        <v>44832</v>
      </c>
      <c r="E109" s="1" t="n">
        <v>46278</v>
      </c>
      <c r="F109" t="inlineStr">
        <is>
          <t>VÄSTMANLANDS LÄN</t>
        </is>
      </c>
      <c r="G109" t="inlineStr">
        <is>
          <t>SURAHAMMAR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12841-2026</t>
        </is>
      </c>
      <c r="B110" t="inlineStr">
        <is>
          <t>avverkningsanmälan</t>
        </is>
      </c>
      <c r="C110" t="inlineStr">
        <is>
          <t>Föryngringsavverkning</t>
        </is>
      </c>
      <c r="D110" s="1" t="n">
        <v>46091</v>
      </c>
      <c r="E110" s="1" t="n">
        <v>46278</v>
      </c>
      <c r="F110" t="inlineStr">
        <is>
          <t>VÄSTMANLANDS LÄN</t>
        </is>
      </c>
      <c r="G110" t="inlineStr">
        <is>
          <t>SURAHAMMAR</t>
        </is>
      </c>
      <c r="H110" t="inlineStr">
        <is>
          <t>Bergvik skog väst AB</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48205-2023</t>
        </is>
      </c>
      <c r="B111" t="inlineStr">
        <is>
          <t>avverkningsanmälan</t>
        </is>
      </c>
      <c r="C111" t="inlineStr">
        <is>
          <t>Föryngringsavverkning</t>
        </is>
      </c>
      <c r="D111" s="1" t="n">
        <v>45205</v>
      </c>
      <c r="E111" s="1" t="n">
        <v>46278</v>
      </c>
      <c r="F111" t="inlineStr">
        <is>
          <t>VÄSTMANLANDS LÄN</t>
        </is>
      </c>
      <c r="G111" t="inlineStr">
        <is>
          <t>SURAHAMMAR</t>
        </is>
      </c>
      <c r="H111" t="inlineStr">
        <is>
          <t>Allmännings- och besparingsskogar</t>
        </is>
      </c>
      <c r="I111" t="n">
        <v>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55873-2025</t>
        </is>
      </c>
      <c r="B112" t="inlineStr">
        <is>
          <t>avverkningsanmälan</t>
        </is>
      </c>
      <c r="C112" t="inlineStr">
        <is>
          <t>Föryngringsavverkning</t>
        </is>
      </c>
      <c r="D112" s="1" t="n">
        <v>45973</v>
      </c>
      <c r="E112" s="1" t="n">
        <v>46278</v>
      </c>
      <c r="F112" t="inlineStr">
        <is>
          <t>VÄSTMANLANDS LÄN</t>
        </is>
      </c>
      <c r="G112" t="inlineStr">
        <is>
          <t>SURAHAMMAR</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33931-2022</t>
        </is>
      </c>
      <c r="B113" t="inlineStr">
        <is>
          <t>avverkningsanmälan</t>
        </is>
      </c>
      <c r="C113" t="inlineStr">
        <is>
          <t>Föryngringsavverkning</t>
        </is>
      </c>
      <c r="D113" s="1" t="n">
        <v>44790</v>
      </c>
      <c r="E113" s="1" t="n">
        <v>46278</v>
      </c>
      <c r="F113" t="inlineStr">
        <is>
          <t>VÄSTMANLANDS LÄN</t>
        </is>
      </c>
      <c r="G113" t="inlineStr">
        <is>
          <t>SURAHAMMAR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22662-2023</t>
        </is>
      </c>
      <c r="B114" t="inlineStr">
        <is>
          <t>avverkningsanmälan</t>
        </is>
      </c>
      <c r="C114" t="inlineStr">
        <is>
          <t>Avverkning för att bevara och utveckla /försöksver</t>
        </is>
      </c>
      <c r="D114" s="1" t="n">
        <v>45071</v>
      </c>
      <c r="E114" s="1" t="n">
        <v>46278</v>
      </c>
      <c r="F114" t="inlineStr">
        <is>
          <t>VÄSTMANLANDS LÄN</t>
        </is>
      </c>
      <c r="G114" t="inlineStr">
        <is>
          <t>SURAHAMMAR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19246-2026</t>
        </is>
      </c>
      <c r="B115" t="inlineStr">
        <is>
          <t>avverkningsanmälan</t>
        </is>
      </c>
      <c r="C115" t="inlineStr">
        <is>
          <t>Avverkning för annat ändamål</t>
        </is>
      </c>
      <c r="D115" s="1" t="n">
        <v>46132</v>
      </c>
      <c r="E115" s="1" t="n">
        <v>46278</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46278</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46278</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46278</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46278</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32808-2024</t>
        </is>
      </c>
      <c r="B120" t="inlineStr">
        <is>
          <t>avverkningsanmälan</t>
        </is>
      </c>
      <c r="C120" t="inlineStr">
        <is>
          <t>Föryngringsavverkning</t>
        </is>
      </c>
      <c r="D120" s="1" t="n">
        <v>45516</v>
      </c>
      <c r="E120" s="1" t="n">
        <v>46278</v>
      </c>
      <c r="F120" t="inlineStr">
        <is>
          <t>VÄSTMANLANDS LÄN</t>
        </is>
      </c>
      <c r="G120" t="inlineStr">
        <is>
          <t>SURAHAMMAR</t>
        </is>
      </c>
      <c r="H120" t="inlineStr">
        <is>
          <t>Övriga Aktiebolag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46278</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46278</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72367-2021</t>
        </is>
      </c>
      <c r="B123" t="inlineStr">
        <is>
          <t>avverkningsanmälan</t>
        </is>
      </c>
      <c r="C123" t="inlineStr">
        <is>
          <t>Föryngringsavverkning</t>
        </is>
      </c>
      <c r="D123" s="1" t="n">
        <v>44545</v>
      </c>
      <c r="E123" s="1" t="n">
        <v>46278</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42714-2022</t>
        </is>
      </c>
      <c r="B124" t="inlineStr">
        <is>
          <t>avverkningsanmälan</t>
        </is>
      </c>
      <c r="C124" t="inlineStr">
        <is>
          <t>Föryngringsavverkning</t>
        </is>
      </c>
      <c r="D124" s="1" t="n">
        <v>44832</v>
      </c>
      <c r="E124" s="1" t="n">
        <v>46278</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46278</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25780-2023</t>
        </is>
      </c>
      <c r="B126" t="inlineStr">
        <is>
          <t>avverkningsanmälan</t>
        </is>
      </c>
      <c r="C126" t="inlineStr">
        <is>
          <t>Föryngringsavverkning</t>
        </is>
      </c>
      <c r="D126" s="1" t="n">
        <v>45090</v>
      </c>
      <c r="E126" s="1" t="n">
        <v>46278</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24201-2026</t>
        </is>
      </c>
      <c r="B127" t="inlineStr">
        <is>
          <t>avverkningsanmälan</t>
        </is>
      </c>
      <c r="C127" t="inlineStr">
        <is>
          <t>Föryngringsavverkning</t>
        </is>
      </c>
      <c r="D127" s="1" t="n">
        <v>46168</v>
      </c>
      <c r="E127" s="1" t="n">
        <v>46278</v>
      </c>
      <c r="F127" t="inlineStr">
        <is>
          <t>VÄSTMANLANDS LÄN</t>
        </is>
      </c>
      <c r="G127" t="inlineStr">
        <is>
          <t>SURAHAMMAR</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35682-2022</t>
        </is>
      </c>
      <c r="B128" t="inlineStr">
        <is>
          <t>avverkningsanmälan</t>
        </is>
      </c>
      <c r="C128" t="inlineStr">
        <is>
          <t>Föryngringsavverkning</t>
        </is>
      </c>
      <c r="D128" s="1" t="n">
        <v>44799</v>
      </c>
      <c r="E128" s="1" t="n">
        <v>46278</v>
      </c>
      <c r="F128" t="inlineStr">
        <is>
          <t>VÄSTMANLANDS LÄN</t>
        </is>
      </c>
      <c r="G128" t="inlineStr">
        <is>
          <t>SURAHAMMAR</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2867-2024</t>
        </is>
      </c>
      <c r="B129" t="inlineStr">
        <is>
          <t>avverkningsanmälan</t>
        </is>
      </c>
      <c r="C129" t="inlineStr">
        <is>
          <t>Föryngringsavverkning</t>
        </is>
      </c>
      <c r="D129" s="1" t="n">
        <v>45315</v>
      </c>
      <c r="E129" s="1" t="n">
        <v>46278</v>
      </c>
      <c r="F129" t="inlineStr">
        <is>
          <t>VÄSTMANLANDS LÄN</t>
        </is>
      </c>
      <c r="G129" t="inlineStr">
        <is>
          <t>SURAHAMMAR</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2660-2024</t>
        </is>
      </c>
      <c r="B130" t="inlineStr">
        <is>
          <t>avverkningsanmälan</t>
        </is>
      </c>
      <c r="C130" t="inlineStr">
        <is>
          <t>Föryngringsavverkning</t>
        </is>
      </c>
      <c r="D130" s="1" t="n">
        <v>45310</v>
      </c>
      <c r="E130" s="1" t="n">
        <v>46278</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5567-2022</t>
        </is>
      </c>
      <c r="B131" t="inlineStr">
        <is>
          <t>avverkningsanmälan</t>
        </is>
      </c>
      <c r="C131" t="inlineStr">
        <is>
          <t>Föryngringsavverkning</t>
        </is>
      </c>
      <c r="D131" s="1" t="n">
        <v>44595</v>
      </c>
      <c r="E131" s="1" t="n">
        <v>46278</v>
      </c>
      <c r="F131" t="inlineStr">
        <is>
          <t>VÄSTMANLANDS LÄN</t>
        </is>
      </c>
      <c r="G131" t="inlineStr">
        <is>
          <t>SURAHAMMAR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46278</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32501-2026</t>
        </is>
      </c>
      <c r="B133" t="inlineStr">
        <is>
          <t>avverkningsanmälan</t>
        </is>
      </c>
      <c r="C133" t="inlineStr">
        <is>
          <t>Avverkning för annat ändamål</t>
        </is>
      </c>
      <c r="D133" s="1" t="n">
        <v>46239</v>
      </c>
      <c r="E133" s="1" t="n">
        <v>46278</v>
      </c>
      <c r="F133" t="inlineStr">
        <is>
          <t>VÄSTMANLANDS LÄN</t>
        </is>
      </c>
      <c r="G133" t="inlineStr">
        <is>
          <t>SURAHAMMAR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22628-2026</t>
        </is>
      </c>
      <c r="B134" t="inlineStr">
        <is>
          <t>avverkningsanmälan</t>
        </is>
      </c>
      <c r="C134" t="inlineStr">
        <is>
          <t>Föryngringsavverkning</t>
        </is>
      </c>
      <c r="D134" s="1" t="n">
        <v>46155</v>
      </c>
      <c r="E134" s="1" t="n">
        <v>46278</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3085-2023</t>
        </is>
      </c>
      <c r="B135" t="inlineStr">
        <is>
          <t>avverkningsanmälan</t>
        </is>
      </c>
      <c r="C135" t="inlineStr">
        <is>
          <t>Föryngringsavverkning</t>
        </is>
      </c>
      <c r="D135" s="1" t="n">
        <v>44946</v>
      </c>
      <c r="E135" s="1" t="n">
        <v>46278</v>
      </c>
      <c r="F135" t="inlineStr">
        <is>
          <t>VÄSTMANLANDS LÄN</t>
        </is>
      </c>
      <c r="G135" t="inlineStr">
        <is>
          <t>SURAHAMMAR</t>
        </is>
      </c>
      <c r="H135" t="inlineStr">
        <is>
          <t>Kyrkan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7848-2022</t>
        </is>
      </c>
      <c r="B136" t="inlineStr">
        <is>
          <t>avverkningsanmälan</t>
        </is>
      </c>
      <c r="C136" t="inlineStr">
        <is>
          <t>Föryngringsavverkning</t>
        </is>
      </c>
      <c r="D136" s="1" t="n">
        <v>44608</v>
      </c>
      <c r="E136" s="1" t="n">
        <v>46278</v>
      </c>
      <c r="F136" t="inlineStr">
        <is>
          <t>VÄSTMANLANDS LÄN</t>
        </is>
      </c>
      <c r="G136" t="inlineStr">
        <is>
          <t>SURAHAMMAR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33933-2026</t>
        </is>
      </c>
      <c r="B137" t="inlineStr">
        <is>
          <t>avverkningsanmälan</t>
        </is>
      </c>
      <c r="C137" t="inlineStr">
        <is>
          <t>Föryngringsavverkning</t>
        </is>
      </c>
      <c r="D137" s="1" t="n">
        <v>46248</v>
      </c>
      <c r="E137" s="1" t="n">
        <v>46278</v>
      </c>
      <c r="F137" t="inlineStr">
        <is>
          <t>VÄSTMANLANDS LÄN</t>
        </is>
      </c>
      <c r="G137" t="inlineStr">
        <is>
          <t>SURAHAMMAR</t>
        </is>
      </c>
      <c r="H137" t="inlineStr">
        <is>
          <t>Bergvik skog väst AB</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15743-2023</t>
        </is>
      </c>
      <c r="B138" t="inlineStr">
        <is>
          <t>avverkningsanmälan</t>
        </is>
      </c>
      <c r="C138" t="inlineStr">
        <is>
          <t>Föryngringsavverkning</t>
        </is>
      </c>
      <c r="D138" s="1" t="n">
        <v>45021</v>
      </c>
      <c r="E138" s="1" t="n">
        <v>46278</v>
      </c>
      <c r="F138" t="inlineStr">
        <is>
          <t>VÄSTMANLANDS LÄN</t>
        </is>
      </c>
      <c r="G138" t="inlineStr">
        <is>
          <t>SURAHAMMAR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46278</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46278</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46278</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46278</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46278</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46278</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46278</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46278</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2026-09-13T02:14:03Z</dcterms:created>
  <dcterms:modified xmlns:dcterms="http://purl.org/dc/terms/" xmlns:xsi="http://www.w3.org/2001/XMLSchema-instance" xsi:type="dcterms:W3CDTF">2026-09-13T02:14:03Z</dcterms:modified>
</cp:coreProperties>
</file>