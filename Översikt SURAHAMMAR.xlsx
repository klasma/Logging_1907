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233</v>
      </c>
      <c r="U5" t="n">
        <v>97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46261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46261</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46261</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46261</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46261</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46261</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46261</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46261</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39594-2025</t>
        </is>
      </c>
      <c r="B18" t="inlineStr">
        <is>
          <t>avverkningsanmälan</t>
        </is>
      </c>
      <c r="C18" t="inlineStr">
        <is>
          <t>Föryngringsavverkning</t>
        </is>
      </c>
      <c r="D18" s="1" t="n">
        <v>45890</v>
      </c>
      <c r="E18" s="1" t="n">
        <v>46261</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42853-2022</t>
        </is>
      </c>
      <c r="B19" t="inlineStr">
        <is>
          <t>avverkningsanmälan</t>
        </is>
      </c>
      <c r="C19" t="inlineStr">
        <is>
          <t>Avverkning för att bevara och utveckla /försöksver</t>
        </is>
      </c>
      <c r="D19" s="1" t="n">
        <v>44832</v>
      </c>
      <c r="E19" s="1" t="n">
        <v>46261</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46261</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46261</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46261</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46261</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46261</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46261</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46261</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46261</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46261</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46261</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46261</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46261</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10236-2026</t>
        </is>
      </c>
      <c r="B32" t="inlineStr">
        <is>
          <t>avverkningsanmälan</t>
        </is>
      </c>
      <c r="C32" t="inlineStr">
        <is>
          <t>Föryngringsavverkning</t>
        </is>
      </c>
      <c r="D32" s="1" t="n">
        <v>46076</v>
      </c>
      <c r="E32" s="1" t="n">
        <v>46261</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63145-2025</t>
        </is>
      </c>
      <c r="B33" t="inlineStr">
        <is>
          <t>avverkningsanmälan</t>
        </is>
      </c>
      <c r="C33" t="inlineStr">
        <is>
          <t>Föryngringsavverkning</t>
        </is>
      </c>
      <c r="D33" s="1" t="n">
        <v>46009</v>
      </c>
      <c r="E33" s="1" t="n">
        <v>46261</v>
      </c>
      <c r="F33" t="inlineStr">
        <is>
          <t>VÄSTMANLANDS LÄN</t>
        </is>
      </c>
      <c r="G33" t="inlineStr">
        <is>
          <t>SURAHAMMAR</t>
        </is>
      </c>
      <c r="H33" t="inlineStr">
        <is>
          <t>Bergvik skog väst AB</t>
        </is>
      </c>
      <c r="I33" t="n">
        <v>40.5</v>
      </c>
      <c r="J33" t="n">
        <v>5</v>
      </c>
      <c r="K33" t="n">
        <v>1</v>
      </c>
      <c r="L33" t="n">
        <v>2</v>
      </c>
      <c r="M33" t="n">
        <v>1</v>
      </c>
      <c r="N33" t="n">
        <v>0</v>
      </c>
      <c r="O33" t="n">
        <v>0</v>
      </c>
      <c r="P33" t="n">
        <v>0</v>
      </c>
      <c r="Q33" t="n">
        <v>3</v>
      </c>
      <c r="R33" t="n">
        <v>1</v>
      </c>
      <c r="S33" t="n">
        <v>6</v>
      </c>
      <c r="T33" t="n">
        <v>13</v>
      </c>
      <c r="U33" t="n">
        <v>0</v>
      </c>
      <c r="V33" s="2" t="inlineStr">
        <is>
          <t>Väddnätfjäril
Mindre hackspett
Talltita
Svart trolldruva
Kungsfågel
Nattviol</t>
        </is>
      </c>
      <c r="W33">
        <f>HYPERLINK("https://klasma.github.io/Logging_1907/artfynd/A 63145-2025 artfynd.xlsx", "A 63145-2025")</f>
        <v/>
      </c>
      <c r="X33">
        <f>HYPERLINK("https://klasma.github.io/Logging_1907/kartor/A 63145-2025 karta.png", "A 63145-2025")</f>
        <v/>
      </c>
      <c r="Y33">
        <f>HYPERLINK("https://klasma.github.io/Logging_1907/kartor_geotiff/A 63145-2025 georefererad karta.tif", "A 63145-2025")</f>
        <v/>
      </c>
      <c r="AA33">
        <f>HYPERLINK("https://klasma.github.io/Logging_1907/klagomål/A 63145-2025 FSC-klagomål.docx", "A 63145-2025")</f>
        <v/>
      </c>
      <c r="AB33">
        <f>HYPERLINK("https://klasma.github.io/Logging_1907/klagomålsmail/A 63145-2025 FSC-klagomål mail.docx", "A 63145-2025")</f>
        <v/>
      </c>
      <c r="AC33">
        <f>HYPERLINK("https://klasma.github.io/Logging_1907/tillsyn/A 63145-2025 tillsynsbegäran.docx", "A 63145-2025")</f>
        <v/>
      </c>
      <c r="AD33">
        <f>HYPERLINK("https://klasma.github.io/Logging_1907/tillsynsmail/A 63145-2025 tillsynsbegäran mail.docx", "A 63145-2025")</f>
        <v/>
      </c>
      <c r="AE33">
        <f>HYPERLINK("https://klasma.github.io/Logging_1907/fåglar/A 63145-2025 prioriterade fågelarter.docx", "A 63145-2025")</f>
        <v/>
      </c>
    </row>
    <row r="34" ht="15" customHeight="1">
      <c r="A34" t="inlineStr">
        <is>
          <t>A 42860-2022</t>
        </is>
      </c>
      <c r="B34" t="inlineStr">
        <is>
          <t>avverkningsanmälan</t>
        </is>
      </c>
      <c r="C34" t="inlineStr">
        <is>
          <t>Avverkning för annat ändamål</t>
        </is>
      </c>
      <c r="D34" s="1" t="n">
        <v>44832</v>
      </c>
      <c r="E34" s="1" t="n">
        <v>46261</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46261</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46261</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46261</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46261</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46261</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46261</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46261</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46261</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46261</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4082-2025</t>
        </is>
      </c>
      <c r="B44" t="inlineStr">
        <is>
          <t>avverkningsanmälan</t>
        </is>
      </c>
      <c r="C44" t="inlineStr">
        <is>
          <t>Föryngringsavverkning</t>
        </is>
      </c>
      <c r="D44" s="1" t="n">
        <v>45684</v>
      </c>
      <c r="E44" s="1" t="n">
        <v>46261</v>
      </c>
      <c r="F44" t="inlineStr">
        <is>
          <t>VÄSTMANLANDS LÄN</t>
        </is>
      </c>
      <c r="G44" t="inlineStr">
        <is>
          <t>SURAHAMMAR</t>
        </is>
      </c>
      <c r="H44" t="inlineStr">
        <is>
          <t>Bergvik skog väst AB</t>
        </is>
      </c>
      <c r="I44" t="n">
        <v>11.6</v>
      </c>
      <c r="J44" t="n">
        <v>2</v>
      </c>
      <c r="K44" t="n">
        <v>2</v>
      </c>
      <c r="L44" t="n">
        <v>0</v>
      </c>
      <c r="M44" t="n">
        <v>0</v>
      </c>
      <c r="N44" t="n">
        <v>0</v>
      </c>
      <c r="O44" t="n">
        <v>0</v>
      </c>
      <c r="P44" t="n">
        <v>0</v>
      </c>
      <c r="Q44" t="n">
        <v>0</v>
      </c>
      <c r="R44" t="n">
        <v>0</v>
      </c>
      <c r="S44" t="n">
        <v>3</v>
      </c>
      <c r="T44" t="n">
        <v>3</v>
      </c>
      <c r="U44" t="n">
        <v>1</v>
      </c>
      <c r="V44" s="2" t="inlineStr">
        <is>
          <t>Grönpyrola
Plattlummer
Lopplummer (aggregat)</t>
        </is>
      </c>
      <c r="W44">
        <f>HYPERLINK("https://klasma.github.io/Logging_1907/artfynd/A 4082-2025 artfynd.xlsx", "A 4082-2025")</f>
        <v/>
      </c>
      <c r="X44">
        <f>HYPERLINK("https://klasma.github.io/Logging_1907/kartor/A 4082-2025 karta.png", "A 4082-2025")</f>
        <v/>
      </c>
      <c r="Y44">
        <f>HYPERLINK("https://klasma.github.io/Logging_1907/kartor_geotiff/A 4082-2025 georefererad karta.tif", "A 4082-2025")</f>
        <v/>
      </c>
      <c r="AA44">
        <f>HYPERLINK("https://klasma.github.io/Logging_1907/klagomål/A 4082-2025 FSC-klagomål.docx", "A 4082-2025")</f>
        <v/>
      </c>
      <c r="AB44">
        <f>HYPERLINK("https://klasma.github.io/Logging_1907/klagomålsmail/A 4082-2025 FSC-klagomål mail.docx", "A 4082-2025")</f>
        <v/>
      </c>
      <c r="AC44">
        <f>HYPERLINK("https://klasma.github.io/Logging_1907/tillsyn/A 4082-2025 tillsynsbegäran.docx", "A 4082-2025")</f>
        <v/>
      </c>
      <c r="AD44">
        <f>HYPERLINK("https://klasma.github.io/Logging_1907/tillsynsmail/A 4082-2025 tillsynsbegäran mail.docx", "A 4082-2025")</f>
        <v/>
      </c>
    </row>
    <row r="45" ht="15" customHeight="1">
      <c r="A45" t="inlineStr">
        <is>
          <t>A 63146-2025</t>
        </is>
      </c>
      <c r="B45" t="inlineStr">
        <is>
          <t>avverkningsanmälan</t>
        </is>
      </c>
      <c r="C45" t="inlineStr">
        <is>
          <t>Föryngringsavverkning</t>
        </is>
      </c>
      <c r="D45" s="1" t="n">
        <v>46009</v>
      </c>
      <c r="E45" s="1" t="n">
        <v>46261</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48128-2023</t>
        </is>
      </c>
      <c r="B46" t="inlineStr">
        <is>
          <t>avverkningsanmälan</t>
        </is>
      </c>
      <c r="C46" t="inlineStr">
        <is>
          <t>Föryngringsavverkning</t>
        </is>
      </c>
      <c r="D46" s="1" t="n">
        <v>45205</v>
      </c>
      <c r="E46" s="1" t="n">
        <v>46261</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32443-2026</t>
        </is>
      </c>
      <c r="B47" t="inlineStr">
        <is>
          <t>avverkningsanmälan</t>
        </is>
      </c>
      <c r="C47" t="inlineStr">
        <is>
          <t>Föryngringsavverkning</t>
        </is>
      </c>
      <c r="D47" s="1" t="n">
        <v>46239</v>
      </c>
      <c r="E47" s="1" t="n">
        <v>46261</v>
      </c>
      <c r="F47" t="inlineStr">
        <is>
          <t>VÄSTMANLANDS LÄN</t>
        </is>
      </c>
      <c r="G47" t="inlineStr">
        <is>
          <t>SURAHAMMAR</t>
        </is>
      </c>
      <c r="H47" t="inlineStr">
        <is>
          <t>Allmännings- och besparingsskogar</t>
        </is>
      </c>
      <c r="I47" t="n">
        <v>9.5</v>
      </c>
      <c r="J47" t="n">
        <v>0</v>
      </c>
      <c r="K47" t="n">
        <v>0</v>
      </c>
      <c r="L47" t="n">
        <v>3</v>
      </c>
      <c r="M47" t="n">
        <v>0</v>
      </c>
      <c r="N47" t="n">
        <v>0</v>
      </c>
      <c r="O47" t="n">
        <v>0</v>
      </c>
      <c r="P47" t="n">
        <v>0</v>
      </c>
      <c r="Q47" t="n">
        <v>3</v>
      </c>
      <c r="R47" t="n">
        <v>0</v>
      </c>
      <c r="S47" t="n">
        <v>3</v>
      </c>
      <c r="T47" t="n">
        <v>5</v>
      </c>
      <c r="U47" t="n">
        <v>0</v>
      </c>
      <c r="V47" s="2" t="inlineStr">
        <is>
          <t>Motaggsvamp
Tallticka
Ullticka</t>
        </is>
      </c>
      <c r="W47">
        <f>HYPERLINK("https://klasma.github.io/Logging_1907/artfynd/A 32443-2026 artfynd.xlsx", "A 32443-2026")</f>
        <v/>
      </c>
      <c r="X47">
        <f>HYPERLINK("https://klasma.github.io/Logging_1907/kartor/A 32443-2026 karta.png", "A 32443-2026")</f>
        <v/>
      </c>
      <c r="Y47">
        <f>HYPERLINK("https://klasma.github.io/Logging_1907/kartor_geotiff/A 32443-2026 georefererad karta.tif", "A 32443-2026")</f>
        <v/>
      </c>
      <c r="AA47">
        <f>HYPERLINK("https://klasma.github.io/Logging_1907/klagomål/A 32443-2026 FSC-klagomål.docx", "A 32443-2026")</f>
        <v/>
      </c>
      <c r="AB47">
        <f>HYPERLINK("https://klasma.github.io/Logging_1907/klagomålsmail/A 32443-2026 FSC-klagomål mail.docx", "A 32443-2026")</f>
        <v/>
      </c>
      <c r="AC47">
        <f>HYPERLINK("https://klasma.github.io/Logging_1907/tillsyn/A 32443-2026 tillsynsbegäran.docx", "A 32443-2026")</f>
        <v/>
      </c>
      <c r="AD47">
        <f>HYPERLINK("https://klasma.github.io/Logging_1907/tillsynsmail/A 32443-2026 tillsynsbegäran mail.docx", "A 32443-2026")</f>
        <v/>
      </c>
    </row>
    <row r="48" ht="15" customHeight="1">
      <c r="A48" t="inlineStr">
        <is>
          <t>A 33935-2026</t>
        </is>
      </c>
      <c r="B48" t="inlineStr">
        <is>
          <t>avverkningsanmälan</t>
        </is>
      </c>
      <c r="C48" t="inlineStr">
        <is>
          <t>Föryngringsavverkning</t>
        </is>
      </c>
      <c r="D48" s="1" t="n">
        <v>46248</v>
      </c>
      <c r="E48" s="1" t="n">
        <v>46261</v>
      </c>
      <c r="F48" t="inlineStr">
        <is>
          <t>VÄSTMANLANDS LÄN</t>
        </is>
      </c>
      <c r="G48" t="inlineStr">
        <is>
          <t>SURAHAMMAR</t>
        </is>
      </c>
      <c r="H48" t="inlineStr">
        <is>
          <t>Bergvik skog väst AB</t>
        </is>
      </c>
      <c r="I48" t="n">
        <v>2.6</v>
      </c>
      <c r="J48" t="n">
        <v>2</v>
      </c>
      <c r="K48" t="n">
        <v>1</v>
      </c>
      <c r="L48" t="n">
        <v>1</v>
      </c>
      <c r="M48" t="n">
        <v>0</v>
      </c>
      <c r="N48" t="n">
        <v>0</v>
      </c>
      <c r="O48" t="n">
        <v>0</v>
      </c>
      <c r="P48" t="n">
        <v>0</v>
      </c>
      <c r="Q48" t="n">
        <v>1</v>
      </c>
      <c r="R48" t="n">
        <v>0</v>
      </c>
      <c r="S48" t="n">
        <v>3</v>
      </c>
      <c r="T48" t="n">
        <v>5</v>
      </c>
      <c r="U48" t="n">
        <v>0</v>
      </c>
      <c r="V48" s="2" t="inlineStr">
        <is>
          <t>Talltita
Mindre märgborre
Spillkråka</t>
        </is>
      </c>
      <c r="W48">
        <f>HYPERLINK("https://klasma.github.io/Logging_1907/artfynd/A 33935-2026 artfynd.xlsx", "A 33935-2026")</f>
        <v/>
      </c>
      <c r="X48">
        <f>HYPERLINK("https://klasma.github.io/Logging_1907/kartor/A 33935-2026 karta.png", "A 33935-2026")</f>
        <v/>
      </c>
      <c r="Y48">
        <f>HYPERLINK("https://klasma.github.io/Logging_1907/kartor_geotiff/A 33935-2026 georefererad karta.tif", "A 33935-2026")</f>
        <v/>
      </c>
      <c r="AA48">
        <f>HYPERLINK("https://klasma.github.io/Logging_1907/klagomål/A 33935-2026 FSC-klagomål.docx", "A 33935-2026")</f>
        <v/>
      </c>
      <c r="AB48">
        <f>HYPERLINK("https://klasma.github.io/Logging_1907/klagomålsmail/A 33935-2026 FSC-klagomål mail.docx", "A 33935-2026")</f>
        <v/>
      </c>
      <c r="AC48">
        <f>HYPERLINK("https://klasma.github.io/Logging_1907/tillsyn/A 33935-2026 tillsynsbegäran.docx", "A 33935-2026")</f>
        <v/>
      </c>
      <c r="AD48">
        <f>HYPERLINK("https://klasma.github.io/Logging_1907/tillsynsmail/A 33935-2026 tillsynsbegäran mail.docx", "A 33935-2026")</f>
        <v/>
      </c>
      <c r="AE48">
        <f>HYPERLINK("https://klasma.github.io/Logging_1907/fåglar/A 33935-2026 prioriterade fågelarter.docx", "A 33935-2026")</f>
        <v/>
      </c>
    </row>
    <row r="49" ht="15" customHeight="1">
      <c r="A49" t="inlineStr">
        <is>
          <t>A 42765-2022</t>
        </is>
      </c>
      <c r="B49" t="inlineStr">
        <is>
          <t>avverkningsanmälan</t>
        </is>
      </c>
      <c r="C49" t="inlineStr">
        <is>
          <t>Avverkning för annat ändamål</t>
        </is>
      </c>
      <c r="D49" s="1" t="n">
        <v>44832</v>
      </c>
      <c r="E49" s="1" t="n">
        <v>46261</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S 1450-2022</t>
        </is>
      </c>
      <c r="B50" t="inlineStr">
        <is>
          <t>samrådsanmälan</t>
        </is>
      </c>
      <c r="C50" t="inlineStr">
        <is>
          <t>Skogsgödsling</t>
        </is>
      </c>
      <c r="D50" s="1" t="n">
        <v>44635</v>
      </c>
      <c r="E50" s="1" t="n">
        <v>46261</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46261</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46261</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46261</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13788-2025</t>
        </is>
      </c>
      <c r="B54" t="inlineStr">
        <is>
          <t>avverkningsanmälan</t>
        </is>
      </c>
      <c r="C54" t="inlineStr">
        <is>
          <t>Föryngringsavverkning</t>
        </is>
      </c>
      <c r="D54" s="1" t="n">
        <v>45737</v>
      </c>
      <c r="E54" s="1" t="n">
        <v>46261</v>
      </c>
      <c r="F54" t="inlineStr">
        <is>
          <t>VÄSTMANLANDS LÄN</t>
        </is>
      </c>
      <c r="G54" t="inlineStr">
        <is>
          <t>SURAHAMMAR</t>
        </is>
      </c>
      <c r="I54" t="n">
        <v>9.699999999999999</v>
      </c>
      <c r="J54" t="n">
        <v>2</v>
      </c>
      <c r="K54" t="n">
        <v>0</v>
      </c>
      <c r="L54" t="n">
        <v>1</v>
      </c>
      <c r="M54" t="n">
        <v>0</v>
      </c>
      <c r="N54" t="n">
        <v>0</v>
      </c>
      <c r="O54" t="n">
        <v>0</v>
      </c>
      <c r="P54" t="n">
        <v>0</v>
      </c>
      <c r="Q54" t="n">
        <v>1</v>
      </c>
      <c r="R54" t="n">
        <v>0</v>
      </c>
      <c r="S54" t="n">
        <v>2</v>
      </c>
      <c r="T54" t="n">
        <v>2</v>
      </c>
      <c r="U54" t="n">
        <v>2</v>
      </c>
      <c r="V54" s="2" t="inlineStr">
        <is>
          <t>Sparvuggla
Nattskärra</t>
        </is>
      </c>
      <c r="W54">
        <f>HYPERLINK("https://klasma.github.io/Logging_1907/artfynd/A 13788-2025 artfynd.xlsx", "A 13788-2025")</f>
        <v/>
      </c>
      <c r="X54">
        <f>HYPERLINK("https://klasma.github.io/Logging_1907/kartor/A 13788-2025 karta.png", "A 13788-2025")</f>
        <v/>
      </c>
      <c r="Y54">
        <f>HYPERLINK("https://klasma.github.io/Logging_1907/kartor_geotiff/A 13788-2025 georefererad karta.tif", "A 13788-2025")</f>
        <v/>
      </c>
      <c r="AA54">
        <f>HYPERLINK("https://klasma.github.io/Logging_1907/klagomål/A 13788-2025 FSC-klagomål.docx", "A 13788-2025")</f>
        <v/>
      </c>
      <c r="AB54">
        <f>HYPERLINK("https://klasma.github.io/Logging_1907/klagomålsmail/A 13788-2025 FSC-klagomål mail.docx", "A 13788-2025")</f>
        <v/>
      </c>
      <c r="AC54">
        <f>HYPERLINK("https://klasma.github.io/Logging_1907/tillsyn/A 13788-2025 tillsynsbegäran.docx", "A 13788-2025")</f>
        <v/>
      </c>
      <c r="AD54">
        <f>HYPERLINK("https://klasma.github.io/Logging_1907/tillsynsmail/A 13788-2025 tillsynsbegäran mail.docx", "A 13788-2025")</f>
        <v/>
      </c>
      <c r="AE54">
        <f>HYPERLINK("https://klasma.github.io/Logging_1907/fåglar/A 13788-2025 prioriterade fågelarter.docx", "A 13788-2025")</f>
        <v/>
      </c>
    </row>
    <row r="55" ht="15" customHeight="1">
      <c r="A55" t="inlineStr">
        <is>
          <t>A 40403-2025</t>
        </is>
      </c>
      <c r="B55" t="inlineStr">
        <is>
          <t>avverkningsanmälan</t>
        </is>
      </c>
      <c r="C55" t="inlineStr">
        <is>
          <t>Föryngringsavverkning</t>
        </is>
      </c>
      <c r="D55" s="1" t="n">
        <v>45895</v>
      </c>
      <c r="E55" s="1" t="n">
        <v>46261</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37013-2025</t>
        </is>
      </c>
      <c r="B56" t="inlineStr">
        <is>
          <t>avverkningsanmälan</t>
        </is>
      </c>
      <c r="C56" t="inlineStr">
        <is>
          <t>Föryngringsavverkning</t>
        </is>
      </c>
      <c r="D56" s="1" t="n">
        <v>45874</v>
      </c>
      <c r="E56" s="1" t="n">
        <v>46261</v>
      </c>
      <c r="F56" t="inlineStr">
        <is>
          <t>VÄSTMANLANDS LÄN</t>
        </is>
      </c>
      <c r="G56" t="inlineStr">
        <is>
          <t>SURAHAMMAR</t>
        </is>
      </c>
      <c r="H56" t="inlineStr">
        <is>
          <t>Bergvik skog väst AB</t>
        </is>
      </c>
      <c r="I56" t="n">
        <v>10.7</v>
      </c>
      <c r="J56" t="n">
        <v>0</v>
      </c>
      <c r="K56" t="n">
        <v>0</v>
      </c>
      <c r="L56" t="n">
        <v>0</v>
      </c>
      <c r="M56" t="n">
        <v>2</v>
      </c>
      <c r="N56" t="n">
        <v>0</v>
      </c>
      <c r="O56" t="n">
        <v>0</v>
      </c>
      <c r="P56" t="n">
        <v>0</v>
      </c>
      <c r="Q56" t="n">
        <v>2</v>
      </c>
      <c r="R56" t="n">
        <v>2</v>
      </c>
      <c r="S56" t="n">
        <v>2</v>
      </c>
      <c r="T56" t="n">
        <v>2</v>
      </c>
      <c r="U56" t="n">
        <v>0</v>
      </c>
      <c r="V56" s="2" t="inlineStr">
        <is>
          <t>Brunfläckig pärlemorfjäril
Fältgentiana</t>
        </is>
      </c>
      <c r="W56">
        <f>HYPERLINK("https://klasma.github.io/Logging_1907/artfynd/A 37013-2025 artfynd.xlsx", "A 37013-2025")</f>
        <v/>
      </c>
      <c r="X56">
        <f>HYPERLINK("https://klasma.github.io/Logging_1907/kartor/A 37013-2025 karta.png", "A 37013-2025")</f>
        <v/>
      </c>
      <c r="Y56">
        <f>HYPERLINK("https://klasma.github.io/Logging_1907/kartor_geotiff/A 37013-2025 georefererad karta.tif", "A 37013-2025")</f>
        <v/>
      </c>
      <c r="AA56">
        <f>HYPERLINK("https://klasma.github.io/Logging_1907/klagomål/A 37013-2025 FSC-klagomål.docx", "A 37013-2025")</f>
        <v/>
      </c>
      <c r="AB56">
        <f>HYPERLINK("https://klasma.github.io/Logging_1907/klagomålsmail/A 37013-2025 FSC-klagomål mail.docx", "A 37013-2025")</f>
        <v/>
      </c>
      <c r="AC56">
        <f>HYPERLINK("https://klasma.github.io/Logging_1907/tillsyn/A 37013-2025 tillsynsbegäran.docx", "A 37013-2025")</f>
        <v/>
      </c>
      <c r="AD56">
        <f>HYPERLINK("https://klasma.github.io/Logging_1907/tillsynsmail/A 37013-2025 tillsynsbegäran mail.docx", "A 37013-2025")</f>
        <v/>
      </c>
    </row>
    <row r="57" ht="15" customHeight="1">
      <c r="A57" t="inlineStr">
        <is>
          <t>A 14001-2023</t>
        </is>
      </c>
      <c r="B57" t="inlineStr">
        <is>
          <t>avverkningsanmälan</t>
        </is>
      </c>
      <c r="C57" t="inlineStr">
        <is>
          <t>Föryngringsavverkning</t>
        </is>
      </c>
      <c r="D57" s="1" t="n">
        <v>45007</v>
      </c>
      <c r="E57" s="1" t="n">
        <v>46261</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46261</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63138-2025</t>
        </is>
      </c>
      <c r="B59" t="inlineStr">
        <is>
          <t>avverkningsanmälan</t>
        </is>
      </c>
      <c r="C59" t="inlineStr">
        <is>
          <t>Föryngringsavverkning</t>
        </is>
      </c>
      <c r="D59" s="1" t="n">
        <v>46009</v>
      </c>
      <c r="E59" s="1" t="n">
        <v>46261</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11501-2023</t>
        </is>
      </c>
      <c r="B60" t="inlineStr">
        <is>
          <t>avverkningsanmälan</t>
        </is>
      </c>
      <c r="C60" t="inlineStr">
        <is>
          <t>Föryngringsavverkning</t>
        </is>
      </c>
      <c r="D60" s="1" t="n">
        <v>44991</v>
      </c>
      <c r="E60" s="1" t="n">
        <v>46261</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41204-2023</t>
        </is>
      </c>
      <c r="B61" t="inlineStr">
        <is>
          <t>avverkningsanmälan</t>
        </is>
      </c>
      <c r="C61" t="inlineStr">
        <is>
          <t>Föryngringsavverkning</t>
        </is>
      </c>
      <c r="D61" s="1" t="n">
        <v>45174</v>
      </c>
      <c r="E61" s="1" t="n">
        <v>46261</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30074-2023</t>
        </is>
      </c>
      <c r="B62" t="inlineStr">
        <is>
          <t>avverkningsanmälan</t>
        </is>
      </c>
      <c r="C62" t="inlineStr">
        <is>
          <t>Föryngringsavverkning</t>
        </is>
      </c>
      <c r="D62" s="1" t="n">
        <v>45110</v>
      </c>
      <c r="E62" s="1" t="n">
        <v>46261</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13971-2023</t>
        </is>
      </c>
      <c r="B63" t="inlineStr">
        <is>
          <t>avverkningsanmälan</t>
        </is>
      </c>
      <c r="C63" t="inlineStr">
        <is>
          <t>Föryngringsavverkning</t>
        </is>
      </c>
      <c r="D63" s="1" t="n">
        <v>45007</v>
      </c>
      <c r="E63" s="1" t="n">
        <v>46261</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46261</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46261</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46261</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46261</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46261</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46261</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34584-2025</t>
        </is>
      </c>
      <c r="B70" t="inlineStr">
        <is>
          <t>avverkningsanmälan</t>
        </is>
      </c>
      <c r="C70" t="inlineStr">
        <is>
          <t>Föryngringsavverkning</t>
        </is>
      </c>
      <c r="D70" s="1" t="n">
        <v>45846</v>
      </c>
      <c r="E70" s="1" t="n">
        <v>46261</v>
      </c>
      <c r="F70" t="inlineStr">
        <is>
          <t>VÄSTMANLANDS LÄN</t>
        </is>
      </c>
      <c r="G70" t="inlineStr">
        <is>
          <t>SURAHAMMAR</t>
        </is>
      </c>
      <c r="H70" t="inlineStr">
        <is>
          <t>Bergvik skog väst AB</t>
        </is>
      </c>
      <c r="I70" t="n">
        <v>2.7</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HYPERLINK("https://klasma.github.io/Logging_1907/artfynd/A 34584-2025 artfynd.xlsx", "A 34584-2025")</f>
        <v/>
      </c>
      <c r="X70">
        <f>HYPERLINK("https://klasma.github.io/Logging_1907/kartor/A 34584-2025 karta.png", "A 34584-2025")</f>
        <v/>
      </c>
      <c r="Y70">
        <f>HYPERLINK("https://klasma.github.io/Logging_1907/kartor_geotiff/A 34584-2025 georefererad karta.tif", "A 34584-2025")</f>
        <v/>
      </c>
      <c r="AA70">
        <f>HYPERLINK("https://klasma.github.io/Logging_1907/klagomål/A 34584-2025 FSC-klagomål.docx", "A 34584-2025")</f>
        <v/>
      </c>
      <c r="AB70">
        <f>HYPERLINK("https://klasma.github.io/Logging_1907/klagomålsmail/A 34584-2025 FSC-klagomål mail.docx", "A 34584-2025")</f>
        <v/>
      </c>
      <c r="AC70">
        <f>HYPERLINK("https://klasma.github.io/Logging_1907/tillsyn/A 34584-2025 tillsynsbegäran.docx", "A 34584-2025")</f>
        <v/>
      </c>
      <c r="AD70">
        <f>HYPERLINK("https://klasma.github.io/Logging_1907/tillsynsmail/A 34584-2025 tillsynsbegäran mail.docx", "A 34584-2025")</f>
        <v/>
      </c>
      <c r="AE70">
        <f>HYPERLINK("https://klasma.github.io/Logging_1907/fåglar/A 34584-2025 prioriterade fågelarter.docx", "A 34584-2025")</f>
        <v/>
      </c>
    </row>
    <row r="71" ht="15" customHeight="1">
      <c r="A71" t="inlineStr">
        <is>
          <t>A 8553-2023</t>
        </is>
      </c>
      <c r="B71" t="inlineStr">
        <is>
          <t>avverkningsanmälan</t>
        </is>
      </c>
      <c r="C71" t="inlineStr">
        <is>
          <t>Avverkning för att bevara och utveckla /försöksver</t>
        </is>
      </c>
      <c r="D71" s="1" t="n">
        <v>44977</v>
      </c>
      <c r="E71" s="1" t="n">
        <v>46261</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HYPERLINK("https://klasma.github.io/Logging_1907/artfynd/A 8553-2023 artfynd.xlsx", "A 8553-2023")</f>
        <v/>
      </c>
      <c r="X71">
        <f>HYPERLINK("https://klasma.github.io/Logging_1907/kartor/A 8553-2023 karta.png", "A 8553-2023")</f>
        <v/>
      </c>
      <c r="Y71">
        <f>HYPERLINK("https://klasma.github.io/Logging_1907/kartor_geotiff/A 8553-2023 georefererad karta.tif", "A 8553-2023")</f>
        <v/>
      </c>
      <c r="AA71">
        <f>HYPERLINK("https://klasma.github.io/Logging_1907/klagomål/A 8553-2023 FSC-klagomål.docx", "A 8553-2023")</f>
        <v/>
      </c>
      <c r="AB71">
        <f>HYPERLINK("https://klasma.github.io/Logging_1907/klagomålsmail/A 8553-2023 FSC-klagomål mail.docx", "A 8553-2023")</f>
        <v/>
      </c>
      <c r="AC71">
        <f>HYPERLINK("https://klasma.github.io/Logging_1907/tillsyn/A 8553-2023 tillsynsbegäran.docx", "A 8553-2023")</f>
        <v/>
      </c>
      <c r="AD71">
        <f>HYPERLINK("https://klasma.github.io/Logging_1907/tillsynsmail/A 8553-2023 tillsynsbegäran mail.docx", "A 8553-2023")</f>
        <v/>
      </c>
    </row>
    <row r="72" ht="15" customHeight="1">
      <c r="A72" t="inlineStr">
        <is>
          <t>A 16013-2023</t>
        </is>
      </c>
      <c r="B72" t="inlineStr">
        <is>
          <t>avverkningsanmälan</t>
        </is>
      </c>
      <c r="C72" t="inlineStr">
        <is>
          <t>Föryngringsavverkning</t>
        </is>
      </c>
      <c r="D72" s="1" t="n">
        <v>45026</v>
      </c>
      <c r="E72" s="1" t="n">
        <v>46261</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46261</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31589-2026</t>
        </is>
      </c>
      <c r="B74" t="inlineStr">
        <is>
          <t>avverkningsanmälan</t>
        </is>
      </c>
      <c r="C74" t="inlineStr">
        <is>
          <t>Föryngringsavverkning</t>
        </is>
      </c>
      <c r="D74" s="1" t="n">
        <v>46224</v>
      </c>
      <c r="E74" s="1" t="n">
        <v>46261</v>
      </c>
      <c r="F74" t="inlineStr">
        <is>
          <t>VÄSTMANLANDS LÄN</t>
        </is>
      </c>
      <c r="G74" t="inlineStr">
        <is>
          <t>SURAHAMMAR</t>
        </is>
      </c>
      <c r="H74" t="inlineStr">
        <is>
          <t>Allmännings- och besparingsskogar</t>
        </is>
      </c>
      <c r="I74" t="n">
        <v>7</v>
      </c>
      <c r="J74" t="n">
        <v>0</v>
      </c>
      <c r="K74" t="n">
        <v>1</v>
      </c>
      <c r="L74" t="n">
        <v>0</v>
      </c>
      <c r="M74" t="n">
        <v>0</v>
      </c>
      <c r="N74" t="n">
        <v>0</v>
      </c>
      <c r="O74" t="n">
        <v>0</v>
      </c>
      <c r="P74" t="n">
        <v>0</v>
      </c>
      <c r="Q74" t="n">
        <v>0</v>
      </c>
      <c r="R74" t="n">
        <v>0</v>
      </c>
      <c r="S74" t="n">
        <v>1</v>
      </c>
      <c r="T74" t="n">
        <v>1</v>
      </c>
      <c r="U74" t="n">
        <v>0</v>
      </c>
      <c r="V74" s="2" t="inlineStr">
        <is>
          <t>Blomkålssvamp</t>
        </is>
      </c>
      <c r="W74">
        <f>HYPERLINK("https://klasma.github.io/Logging_1907/artfynd/A 31589-2026 artfynd.xlsx", "A 31589-2026")</f>
        <v/>
      </c>
      <c r="X74">
        <f>HYPERLINK("https://klasma.github.io/Logging_1907/kartor/A 31589-2026 karta.png", "A 31589-2026")</f>
        <v/>
      </c>
      <c r="Y74">
        <f>HYPERLINK("https://klasma.github.io/Logging_1907/kartor_geotiff/A 31589-2026 georefererad karta.tif", "A 31589-2026")</f>
        <v/>
      </c>
      <c r="AA74">
        <f>HYPERLINK("https://klasma.github.io/Logging_1907/klagomål/A 31589-2026 FSC-klagomål.docx", "A 31589-2026")</f>
        <v/>
      </c>
      <c r="AB74">
        <f>HYPERLINK("https://klasma.github.io/Logging_1907/klagomålsmail/A 31589-2026 FSC-klagomål mail.docx", "A 31589-2026")</f>
        <v/>
      </c>
      <c r="AC74">
        <f>HYPERLINK("https://klasma.github.io/Logging_1907/tillsyn/A 31589-2026 tillsynsbegäran.docx", "A 31589-2026")</f>
        <v/>
      </c>
      <c r="AD74">
        <f>HYPERLINK("https://klasma.github.io/Logging_1907/tillsynsmail/A 31589-2026 tillsynsbegäran mail.docx", "A 31589-2026")</f>
        <v/>
      </c>
    </row>
    <row r="75" ht="15" customHeight="1">
      <c r="A75" t="inlineStr">
        <is>
          <t>A 33231-2024</t>
        </is>
      </c>
      <c r="B75" t="inlineStr">
        <is>
          <t>avverkningsanmälan</t>
        </is>
      </c>
      <c r="C75" t="inlineStr">
        <is>
          <t>Föryngringsavverkning</t>
        </is>
      </c>
      <c r="D75" s="1" t="n">
        <v>45518</v>
      </c>
      <c r="E75" s="1" t="n">
        <v>46261</v>
      </c>
      <c r="F75" t="inlineStr">
        <is>
          <t>VÄSTMANLANDS LÄN</t>
        </is>
      </c>
      <c r="G75" t="inlineStr">
        <is>
          <t>SURAHAMMAR</t>
        </is>
      </c>
      <c r="H75" t="inlineStr">
        <is>
          <t>Bergvik skog väst AB</t>
        </is>
      </c>
      <c r="I75" t="n">
        <v>1.5</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HYPERLINK("https://klasma.github.io/Logging_1907/artfynd/A 33231-2024 artfynd.xlsx", "A 33231-2024")</f>
        <v/>
      </c>
      <c r="X75">
        <f>HYPERLINK("https://klasma.github.io/Logging_1907/kartor/A 33231-2024 karta.png", "A 33231-2024")</f>
        <v/>
      </c>
      <c r="Y75">
        <f>HYPERLINK("https://klasma.github.io/Logging_1907/kartor_geotiff/A 33231-2024 georefererad karta.tif", "A 33231-2024")</f>
        <v/>
      </c>
      <c r="AA75">
        <f>HYPERLINK("https://klasma.github.io/Logging_1907/klagomål/A 33231-2024 FSC-klagomål.docx", "A 33231-2024")</f>
        <v/>
      </c>
      <c r="AB75">
        <f>HYPERLINK("https://klasma.github.io/Logging_1907/klagomålsmail/A 33231-2024 FSC-klagomål mail.docx", "A 33231-2024")</f>
        <v/>
      </c>
      <c r="AC75">
        <f>HYPERLINK("https://klasma.github.io/Logging_1907/tillsyn/A 33231-2024 tillsynsbegäran.docx", "A 33231-2024")</f>
        <v/>
      </c>
      <c r="AD75">
        <f>HYPERLINK("https://klasma.github.io/Logging_1907/tillsynsmail/A 33231-2024 tillsynsbegäran mail.docx", "A 33231-2024")</f>
        <v/>
      </c>
    </row>
    <row r="76" ht="15" customHeight="1">
      <c r="A76" t="inlineStr">
        <is>
          <t>A 30076-2023</t>
        </is>
      </c>
      <c r="B76" t="inlineStr">
        <is>
          <t>avverkningsanmälan</t>
        </is>
      </c>
      <c r="C76" t="inlineStr">
        <is>
          <t>Föryngringsavverkning</t>
        </is>
      </c>
      <c r="D76" s="1" t="n">
        <v>45110</v>
      </c>
      <c r="E76" s="1" t="n">
        <v>46261</v>
      </c>
      <c r="F76" t="inlineStr">
        <is>
          <t>VÄSTMANLANDS LÄN</t>
        </is>
      </c>
      <c r="G76" t="inlineStr">
        <is>
          <t>SURAHAMMAR</t>
        </is>
      </c>
      <c r="H76" t="inlineStr">
        <is>
          <t>Sveaskog</t>
        </is>
      </c>
      <c r="I76" t="n">
        <v>1.1</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HYPERLINK("https://klasma.github.io/Logging_1907/artfynd/A 30076-2023 artfynd.xlsx", "A 30076-2023")</f>
        <v/>
      </c>
      <c r="X76">
        <f>HYPERLINK("https://klasma.github.io/Logging_1907/kartor/A 30076-2023 karta.png", "A 30076-2023")</f>
        <v/>
      </c>
      <c r="Y76">
        <f>HYPERLINK("https://klasma.github.io/Logging_1907/kartor_geotiff/A 30076-2023 georefererad karta.tif", "A 30076-2023")</f>
        <v/>
      </c>
      <c r="AA76">
        <f>HYPERLINK("https://klasma.github.io/Logging_1907/klagomål/A 30076-2023 FSC-klagomål.docx", "A 30076-2023")</f>
        <v/>
      </c>
      <c r="AB76">
        <f>HYPERLINK("https://klasma.github.io/Logging_1907/klagomålsmail/A 30076-2023 FSC-klagomål mail.docx", "A 30076-2023")</f>
        <v/>
      </c>
      <c r="AC76">
        <f>HYPERLINK("https://klasma.github.io/Logging_1907/tillsyn/A 30076-2023 tillsynsbegäran.docx", "A 30076-2023")</f>
        <v/>
      </c>
      <c r="AD76">
        <f>HYPERLINK("https://klasma.github.io/Logging_1907/tillsynsmail/A 30076-2023 tillsynsbegäran mail.docx", "A 30076-2023")</f>
        <v/>
      </c>
    </row>
    <row r="77" ht="15" customHeight="1">
      <c r="A77" t="inlineStr">
        <is>
          <t>A 47785-2021</t>
        </is>
      </c>
      <c r="B77" t="inlineStr">
        <is>
          <t>avverkningsanmälan</t>
        </is>
      </c>
      <c r="C77" t="inlineStr">
        <is>
          <t>Föryngringsavverkning</t>
        </is>
      </c>
      <c r="D77" s="1" t="n">
        <v>44448</v>
      </c>
      <c r="E77" s="1" t="n">
        <v>46261</v>
      </c>
      <c r="F77" t="inlineStr">
        <is>
          <t>VÄSTMANLANDS LÄN</t>
        </is>
      </c>
      <c r="G77" t="inlineStr">
        <is>
          <t>SURAHAMMAR</t>
        </is>
      </c>
      <c r="H77" t="inlineStr">
        <is>
          <t>Kommuner</t>
        </is>
      </c>
      <c r="I77" t="n">
        <v>3.3</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HYPERLINK("https://klasma.github.io/Logging_1907/artfynd/A 47785-2021 artfynd.xlsx", "A 47785-2021")</f>
        <v/>
      </c>
      <c r="X77">
        <f>HYPERLINK("https://klasma.github.io/Logging_1907/kartor/A 47785-2021 karta.png", "A 47785-2021")</f>
        <v/>
      </c>
      <c r="Y77">
        <f>HYPERLINK("https://klasma.github.io/Logging_1907/kartor_geotiff/A 47785-2021 georefererad karta.tif", "A 47785-2021")</f>
        <v/>
      </c>
      <c r="AA77">
        <f>HYPERLINK("https://klasma.github.io/Logging_1907/klagomål/A 47785-2021 FSC-klagomål.docx", "A 47785-2021")</f>
        <v/>
      </c>
      <c r="AB77">
        <f>HYPERLINK("https://klasma.github.io/Logging_1907/klagomålsmail/A 47785-2021 FSC-klagomål mail.docx", "A 47785-2021")</f>
        <v/>
      </c>
      <c r="AC77">
        <f>HYPERLINK("https://klasma.github.io/Logging_1907/tillsyn/A 47785-2021 tillsynsbegäran.docx", "A 47785-2021")</f>
        <v/>
      </c>
      <c r="AD77">
        <f>HYPERLINK("https://klasma.github.io/Logging_1907/tillsynsmail/A 47785-2021 tillsynsbegäran mail.docx", "A 47785-2021")</f>
        <v/>
      </c>
    </row>
    <row r="78" ht="15" customHeight="1">
      <c r="A78" t="inlineStr">
        <is>
          <t>A 10883-2023</t>
        </is>
      </c>
      <c r="B78" t="inlineStr">
        <is>
          <t>avverkningsanmälan</t>
        </is>
      </c>
      <c r="C78" t="inlineStr">
        <is>
          <t>Föryngringsavverkning</t>
        </is>
      </c>
      <c r="D78" s="1" t="n">
        <v>44991</v>
      </c>
      <c r="E78" s="1" t="n">
        <v>46261</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HYPERLINK("https://klasma.github.io/Logging_1907/artfynd/A 10883-2023 artfynd.xlsx", "A 10883-2023")</f>
        <v/>
      </c>
      <c r="X78">
        <f>HYPERLINK("https://klasma.github.io/Logging_1907/kartor/A 10883-2023 karta.png", "A 10883-2023")</f>
        <v/>
      </c>
      <c r="Y78">
        <f>HYPERLINK("https://klasma.github.io/Logging_1907/kartor_geotiff/A 10883-2023 georefererad karta.tif", "A 10883-2023")</f>
        <v/>
      </c>
      <c r="AA78">
        <f>HYPERLINK("https://klasma.github.io/Logging_1907/klagomål/A 10883-2023 FSC-klagomål.docx", "A 10883-2023")</f>
        <v/>
      </c>
      <c r="AB78">
        <f>HYPERLINK("https://klasma.github.io/Logging_1907/klagomålsmail/A 10883-2023 FSC-klagomål mail.docx", "A 10883-2023")</f>
        <v/>
      </c>
      <c r="AC78">
        <f>HYPERLINK("https://klasma.github.io/Logging_1907/tillsyn/A 10883-2023 tillsynsbegäran.docx", "A 10883-2023")</f>
        <v/>
      </c>
      <c r="AD78">
        <f>HYPERLINK("https://klasma.github.io/Logging_1907/tillsynsmail/A 10883-2023 tillsynsbegäran mail.docx", "A 10883-2023")</f>
        <v/>
      </c>
      <c r="AE78">
        <f>HYPERLINK("https://klasma.github.io/Logging_1907/fåglar/A 10883-2023 prioriterade fågelarter.docx", "A 10883-2023")</f>
        <v/>
      </c>
    </row>
    <row r="79" ht="15" customHeight="1">
      <c r="A79" t="inlineStr">
        <is>
          <t>A 24167-2024</t>
        </is>
      </c>
      <c r="B79" t="inlineStr">
        <is>
          <t>avverkningsanmälan</t>
        </is>
      </c>
      <c r="C79" t="inlineStr">
        <is>
          <t>Avverkning för annat ändamål</t>
        </is>
      </c>
      <c r="D79" s="1" t="n">
        <v>45456</v>
      </c>
      <c r="E79" s="1" t="n">
        <v>46261</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37287-2023</t>
        </is>
      </c>
      <c r="B80" t="inlineStr">
        <is>
          <t>avverkningsanmälan</t>
        </is>
      </c>
      <c r="C80" t="inlineStr">
        <is>
          <t>Föryngringsavverkning</t>
        </is>
      </c>
      <c r="D80" s="1" t="n">
        <v>45156</v>
      </c>
      <c r="E80" s="1" t="n">
        <v>46261</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t="n">
        <v>0</v>
      </c>
      <c r="V80" s="2" t="inlineStr">
        <is>
          <t>Mindre tåtelsmygare</t>
        </is>
      </c>
      <c r="W80">
        <f>HYPERLINK("https://klasma.github.io/Logging_1907/artfynd/A 37287-2023 artfynd.xlsx", "A 37287-2023")</f>
        <v/>
      </c>
      <c r="X80">
        <f>HYPERLINK("https://klasma.github.io/Logging_1907/kartor/A 37287-2023 karta.png", "A 37287-2023")</f>
        <v/>
      </c>
      <c r="Y80">
        <f>HYPERLINK("https://klasma.github.io/Logging_1907/kartor_geotiff/A 37287-2023 georefererad karta.tif", "A 37287-2023")</f>
        <v/>
      </c>
      <c r="AA80">
        <f>HYPERLINK("https://klasma.github.io/Logging_1907/klagomål/A 37287-2023 FSC-klagomål.docx", "A 37287-2023")</f>
        <v/>
      </c>
      <c r="AB80">
        <f>HYPERLINK("https://klasma.github.io/Logging_1907/klagomålsmail/A 37287-2023 FSC-klagomål mail.docx", "A 37287-2023")</f>
        <v/>
      </c>
      <c r="AC80">
        <f>HYPERLINK("https://klasma.github.io/Logging_1907/tillsyn/A 37287-2023 tillsynsbegäran.docx", "A 37287-2023")</f>
        <v/>
      </c>
      <c r="AD80">
        <f>HYPERLINK("https://klasma.github.io/Logging_1907/tillsynsmail/A 37287-2023 tillsynsbegäran mail.docx", "A 37287-2023")</f>
        <v/>
      </c>
    </row>
    <row r="81" ht="15" customHeight="1">
      <c r="A81" t="inlineStr">
        <is>
          <t>A 44356-2024</t>
        </is>
      </c>
      <c r="B81" t="inlineStr">
        <is>
          <t>avverkningsanmälan</t>
        </is>
      </c>
      <c r="C81" t="inlineStr">
        <is>
          <t>Föryngringsavverkning</t>
        </is>
      </c>
      <c r="D81" s="1" t="n">
        <v>45573</v>
      </c>
      <c r="E81" s="1" t="n">
        <v>46261</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17632-2022</t>
        </is>
      </c>
      <c r="B82" t="inlineStr">
        <is>
          <t>avverkningsanmälan</t>
        </is>
      </c>
      <c r="C82" t="inlineStr">
        <is>
          <t>Föryngringsavverkning</t>
        </is>
      </c>
      <c r="D82" s="1" t="n">
        <v>44680</v>
      </c>
      <c r="E82" s="1" t="n">
        <v>46261</v>
      </c>
      <c r="F82" t="inlineStr">
        <is>
          <t>VÄSTMANLANDS LÄN</t>
        </is>
      </c>
      <c r="G82" t="inlineStr">
        <is>
          <t>SURAHAMMAR</t>
        </is>
      </c>
      <c r="I82" t="n">
        <v>5.2</v>
      </c>
      <c r="J82" t="n">
        <v>0</v>
      </c>
      <c r="K82" t="n">
        <v>1</v>
      </c>
      <c r="L82" t="n">
        <v>0</v>
      </c>
      <c r="M82" t="n">
        <v>0</v>
      </c>
      <c r="N82" t="n">
        <v>0</v>
      </c>
      <c r="O82" t="n">
        <v>0</v>
      </c>
      <c r="P82" t="n">
        <v>0</v>
      </c>
      <c r="Q82" t="n">
        <v>0</v>
      </c>
      <c r="R82" t="n">
        <v>0</v>
      </c>
      <c r="S82" t="n">
        <v>1</v>
      </c>
      <c r="T82" t="n">
        <v>1</v>
      </c>
      <c r="U82" t="n">
        <v>0</v>
      </c>
      <c r="V82" s="2" t="inlineStr">
        <is>
          <t>Blodticka</t>
        </is>
      </c>
      <c r="W82">
        <f>HYPERLINK("https://klasma.github.io/Logging_1907/artfynd/A 17632-2022 artfynd.xlsx", "A 17632-2022")</f>
        <v/>
      </c>
      <c r="X82">
        <f>HYPERLINK("https://klasma.github.io/Logging_1907/kartor/A 17632-2022 karta.png", "A 17632-2022")</f>
        <v/>
      </c>
      <c r="Y82">
        <f>HYPERLINK("https://klasma.github.io/Logging_1907/kartor_geotiff/A 17632-2022 georefererad karta.tif", "A 17632-2022")</f>
        <v/>
      </c>
      <c r="AA82">
        <f>HYPERLINK("https://klasma.github.io/Logging_1907/klagomål/A 17632-2022 FSC-klagomål.docx", "A 17632-2022")</f>
        <v/>
      </c>
      <c r="AB82">
        <f>HYPERLINK("https://klasma.github.io/Logging_1907/klagomålsmail/A 17632-2022 FSC-klagomål mail.docx", "A 17632-2022")</f>
        <v/>
      </c>
      <c r="AC82">
        <f>HYPERLINK("https://klasma.github.io/Logging_1907/tillsyn/A 17632-2022 tillsynsbegäran.docx", "A 17632-2022")</f>
        <v/>
      </c>
      <c r="AD82">
        <f>HYPERLINK("https://klasma.github.io/Logging_1907/tillsynsmail/A 17632-2022 tillsynsbegäran mail.docx", "A 17632-2022")</f>
        <v/>
      </c>
    </row>
    <row r="83" ht="15" customHeight="1">
      <c r="A83" t="inlineStr">
        <is>
          <t>A 64073-2021</t>
        </is>
      </c>
      <c r="B83" t="inlineStr">
        <is>
          <t>avverkningsanmälan</t>
        </is>
      </c>
      <c r="C83" t="inlineStr">
        <is>
          <t>Avverkning för annat ändamål</t>
        </is>
      </c>
      <c r="D83" s="1" t="n">
        <v>44509</v>
      </c>
      <c r="E83" s="1" t="n">
        <v>46261</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46261</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46261</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46261</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46261</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46261</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46261</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46261</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46261</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46261</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46261</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46261</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46261</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4724-2026</t>
        </is>
      </c>
      <c r="B96" t="inlineStr">
        <is>
          <t>avverkningsanmälan</t>
        </is>
      </c>
      <c r="C96" t="inlineStr">
        <is>
          <t>Föryngringsavverkning</t>
        </is>
      </c>
      <c r="D96" s="1" t="n">
        <v>46048</v>
      </c>
      <c r="E96" s="1" t="n">
        <v>46261</v>
      </c>
      <c r="F96" t="inlineStr">
        <is>
          <t>VÄSTMANLANDS LÄN</t>
        </is>
      </c>
      <c r="G96" t="inlineStr">
        <is>
          <t>SURAHAMMAR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4734-2026</t>
        </is>
      </c>
      <c r="B97" t="inlineStr">
        <is>
          <t>avverkningsanmälan</t>
        </is>
      </c>
      <c r="C97" t="inlineStr">
        <is>
          <t>Föryngringsavverkning</t>
        </is>
      </c>
      <c r="D97" s="1" t="n">
        <v>46048</v>
      </c>
      <c r="E97" s="1" t="n">
        <v>46261</v>
      </c>
      <c r="F97" t="inlineStr">
        <is>
          <t>VÄSTMANLANDS LÄN</t>
        </is>
      </c>
      <c r="G97" t="inlineStr">
        <is>
          <t>SURAHAMMAR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10244-2026</t>
        </is>
      </c>
      <c r="B98" t="inlineStr">
        <is>
          <t>avverkningsanmälan</t>
        </is>
      </c>
      <c r="C98" t="inlineStr">
        <is>
          <t>Föryngringsavverkning</t>
        </is>
      </c>
      <c r="D98" s="1" t="n">
        <v>46076</v>
      </c>
      <c r="E98" s="1" t="n">
        <v>46261</v>
      </c>
      <c r="F98" t="inlineStr">
        <is>
          <t>VÄSTMANLANDS LÄN</t>
        </is>
      </c>
      <c r="G98" t="inlineStr">
        <is>
          <t>SURAHAMMAR</t>
        </is>
      </c>
      <c r="H98" t="inlineStr">
        <is>
          <t>Allmännings- och besparingsskogar</t>
        </is>
      </c>
      <c r="I98" t="n">
        <v>8.699999999999999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10249-2026</t>
        </is>
      </c>
      <c r="B99" t="inlineStr">
        <is>
          <t>avverkningsanmälan</t>
        </is>
      </c>
      <c r="C99" t="inlineStr">
        <is>
          <t>Föryngringsavverkning</t>
        </is>
      </c>
      <c r="D99" s="1" t="n">
        <v>46076</v>
      </c>
      <c r="E99" s="1" t="n">
        <v>46261</v>
      </c>
      <c r="F99" t="inlineStr">
        <is>
          <t>VÄSTMANLANDS LÄN</t>
        </is>
      </c>
      <c r="G99" t="inlineStr">
        <is>
          <t>SURAHAMMAR</t>
        </is>
      </c>
      <c r="H99" t="inlineStr">
        <is>
          <t>Allmännings- och besparingsskogar</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10562-2026</t>
        </is>
      </c>
      <c r="B100" t="inlineStr">
        <is>
          <t>avverkningsanmälan</t>
        </is>
      </c>
      <c r="C100" t="inlineStr">
        <is>
          <t>Föryngringsavverkning</t>
        </is>
      </c>
      <c r="D100" s="1" t="n">
        <v>46077</v>
      </c>
      <c r="E100" s="1" t="n">
        <v>46261</v>
      </c>
      <c r="F100" t="inlineStr">
        <is>
          <t>VÄSTMANLANDS LÄN</t>
        </is>
      </c>
      <c r="G100" t="inlineStr">
        <is>
          <t>SURAHAMMAR</t>
        </is>
      </c>
      <c r="H100" t="inlineStr">
        <is>
          <t>Övriga Aktiebolag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10347-2026</t>
        </is>
      </c>
      <c r="B101" t="inlineStr">
        <is>
          <t>avverkningsanmälan</t>
        </is>
      </c>
      <c r="C101" t="inlineStr">
        <is>
          <t>Föryngringsavverkning</t>
        </is>
      </c>
      <c r="D101" s="1" t="n">
        <v>46076</v>
      </c>
      <c r="E101" s="1" t="n">
        <v>46261</v>
      </c>
      <c r="F101" t="inlineStr">
        <is>
          <t>VÄSTMANLANDS LÄN</t>
        </is>
      </c>
      <c r="G101" t="inlineStr">
        <is>
          <t>SURAHAMMAR</t>
        </is>
      </c>
      <c r="H101" t="inlineStr">
        <is>
          <t>Allmännings- och besparingsskogar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12841-2026</t>
        </is>
      </c>
      <c r="B102" t="inlineStr">
        <is>
          <t>avverkningsanmälan</t>
        </is>
      </c>
      <c r="C102" t="inlineStr">
        <is>
          <t>Föryngringsavverkning</t>
        </is>
      </c>
      <c r="D102" s="1" t="n">
        <v>46091</v>
      </c>
      <c r="E102" s="1" t="n">
        <v>46261</v>
      </c>
      <c r="F102" t="inlineStr">
        <is>
          <t>VÄSTMANLANDS LÄN</t>
        </is>
      </c>
      <c r="G102" t="inlineStr">
        <is>
          <t>SURAHAMMAR</t>
        </is>
      </c>
      <c r="H102" t="inlineStr">
        <is>
          <t>Bergvik skog väst AB</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37954-2025</t>
        </is>
      </c>
      <c r="B103" t="inlineStr">
        <is>
          <t>avverkningsanmälan</t>
        </is>
      </c>
      <c r="C103" t="inlineStr">
        <is>
          <t>Föryngringsavverkning</t>
        </is>
      </c>
      <c r="D103" s="1" t="n">
        <v>45881</v>
      </c>
      <c r="E103" s="1" t="n">
        <v>46261</v>
      </c>
      <c r="F103" t="inlineStr">
        <is>
          <t>VÄSTMANLANDS LÄN</t>
        </is>
      </c>
      <c r="G103" t="inlineStr">
        <is>
          <t>SURAHAMMAR</t>
        </is>
      </c>
      <c r="I103" t="n">
        <v>9.5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46261</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19246-2026</t>
        </is>
      </c>
      <c r="B105" t="inlineStr">
        <is>
          <t>avverkningsanmälan</t>
        </is>
      </c>
      <c r="C105" t="inlineStr">
        <is>
          <t>Avverkning för annat ändamål</t>
        </is>
      </c>
      <c r="D105" s="1" t="n">
        <v>46132</v>
      </c>
      <c r="E105" s="1" t="n">
        <v>46261</v>
      </c>
      <c r="F105" t="inlineStr">
        <is>
          <t>VÄSTMANLANDS LÄN</t>
        </is>
      </c>
      <c r="G105" t="inlineStr">
        <is>
          <t>SURAHAMMAR</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46261</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19782-2023</t>
        </is>
      </c>
      <c r="B107" t="inlineStr">
        <is>
          <t>avverkningsanmälan</t>
        </is>
      </c>
      <c r="C107" t="inlineStr">
        <is>
          <t>Föryngringsavverkning</t>
        </is>
      </c>
      <c r="D107" s="1" t="n">
        <v>45050</v>
      </c>
      <c r="E107" s="1" t="n">
        <v>46261</v>
      </c>
      <c r="F107" t="inlineStr">
        <is>
          <t>VÄSTMANLANDS LÄN</t>
        </is>
      </c>
      <c r="G107" t="inlineStr">
        <is>
          <t>SURAHAMMAR</t>
        </is>
      </c>
      <c r="H107" t="inlineStr">
        <is>
          <t>Bergvik skog väst AB</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32808-2024</t>
        </is>
      </c>
      <c r="B108" t="inlineStr">
        <is>
          <t>avverkningsanmälan</t>
        </is>
      </c>
      <c r="C108" t="inlineStr">
        <is>
          <t>Föryngringsavverkning</t>
        </is>
      </c>
      <c r="D108" s="1" t="n">
        <v>45516</v>
      </c>
      <c r="E108" s="1" t="n">
        <v>46261</v>
      </c>
      <c r="F108" t="inlineStr">
        <is>
          <t>VÄSTMANLANDS LÄN</t>
        </is>
      </c>
      <c r="G108" t="inlineStr">
        <is>
          <t>SURAHAMMAR</t>
        </is>
      </c>
      <c r="H108" t="inlineStr">
        <is>
          <t>Övriga Aktiebolag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20535-2026</t>
        </is>
      </c>
      <c r="B109" t="inlineStr">
        <is>
          <t>avverkningsanmälan</t>
        </is>
      </c>
      <c r="C109" t="inlineStr">
        <is>
          <t>Avverkning för annat ändamål</t>
        </is>
      </c>
      <c r="D109" s="1" t="n">
        <v>46140</v>
      </c>
      <c r="E109" s="1" t="n">
        <v>46261</v>
      </c>
      <c r="F109" t="inlineStr">
        <is>
          <t>VÄSTMANLANDS LÄN</t>
        </is>
      </c>
      <c r="G109" t="inlineStr">
        <is>
          <t>SURAHAMMAR</t>
        </is>
      </c>
      <c r="H109" t="inlineStr">
        <is>
          <t>Bergvik skog väst AB</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14626-2023</t>
        </is>
      </c>
      <c r="B110" t="inlineStr">
        <is>
          <t>avverkningsanmälan</t>
        </is>
      </c>
      <c r="C110" t="inlineStr">
        <is>
          <t>Föryngringsavverkning</t>
        </is>
      </c>
      <c r="D110" s="1" t="n">
        <v>45012</v>
      </c>
      <c r="E110" s="1" t="n">
        <v>46261</v>
      </c>
      <c r="F110" t="inlineStr">
        <is>
          <t>VÄSTMANLANDS LÄN</t>
        </is>
      </c>
      <c r="G110" t="inlineStr">
        <is>
          <t>SURAHAMMAR</t>
        </is>
      </c>
      <c r="H110" t="inlineStr">
        <is>
          <t>Bergvik skog väst AB</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49058-2024</t>
        </is>
      </c>
      <c r="B111" t="inlineStr">
        <is>
          <t>avverkningsanmälan</t>
        </is>
      </c>
      <c r="C111" t="inlineStr">
        <is>
          <t>Föryngringsavverkning</t>
        </is>
      </c>
      <c r="D111" s="1" t="n">
        <v>45594</v>
      </c>
      <c r="E111" s="1" t="n">
        <v>46261</v>
      </c>
      <c r="F111" t="inlineStr">
        <is>
          <t>VÄSTMANLANDS LÄN</t>
        </is>
      </c>
      <c r="G111" t="inlineStr">
        <is>
          <t>SURAHAMMAR</t>
        </is>
      </c>
      <c r="H111" t="inlineStr">
        <is>
          <t>Sveaskog</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56378-2023</t>
        </is>
      </c>
      <c r="B112" t="inlineStr">
        <is>
          <t>avverkningsanmälan</t>
        </is>
      </c>
      <c r="C112" t="inlineStr">
        <is>
          <t>Föryngringsavverkning</t>
        </is>
      </c>
      <c r="D112" s="1" t="n">
        <v>45236</v>
      </c>
      <c r="E112" s="1" t="n">
        <v>46261</v>
      </c>
      <c r="F112" t="inlineStr">
        <is>
          <t>VÄSTMANLANDS LÄN</t>
        </is>
      </c>
      <c r="G112" t="inlineStr">
        <is>
          <t>SURAHAMMAR</t>
        </is>
      </c>
      <c r="H112" t="inlineStr">
        <is>
          <t>Bergvik skog väst AB</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11728-2023</t>
        </is>
      </c>
      <c r="B113" t="inlineStr">
        <is>
          <t>avverkningsanmälan</t>
        </is>
      </c>
      <c r="C113" t="inlineStr">
        <is>
          <t>Avverkning för att bevara och utveckla /försöksver</t>
        </is>
      </c>
      <c r="D113" s="1" t="n">
        <v>44993</v>
      </c>
      <c r="E113" s="1" t="n">
        <v>46261</v>
      </c>
      <c r="F113" t="inlineStr">
        <is>
          <t>VÄSTMANLANDS LÄN</t>
        </is>
      </c>
      <c r="G113" t="inlineStr">
        <is>
          <t>SURAHAMMAR</t>
        </is>
      </c>
      <c r="H113" t="inlineStr">
        <is>
          <t>Bergvik skog väst AB</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20904-2023</t>
        </is>
      </c>
      <c r="B114" t="inlineStr">
        <is>
          <t>avverkningsanmälan</t>
        </is>
      </c>
      <c r="C114" t="inlineStr">
        <is>
          <t>Avverkning för att bevara och utveckla /försöksver</t>
        </is>
      </c>
      <c r="D114" s="1" t="n">
        <v>45060</v>
      </c>
      <c r="E114" s="1" t="n">
        <v>46261</v>
      </c>
      <c r="F114" t="inlineStr">
        <is>
          <t>VÄSTMANLANDS LÄN</t>
        </is>
      </c>
      <c r="G114" t="inlineStr">
        <is>
          <t>SURAHAMMAR</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24201-2026</t>
        </is>
      </c>
      <c r="B115" t="inlineStr">
        <is>
          <t>avverkningsanmälan</t>
        </is>
      </c>
      <c r="C115" t="inlineStr">
        <is>
          <t>Föryngringsavverkning</t>
        </is>
      </c>
      <c r="D115" s="1" t="n">
        <v>46168</v>
      </c>
      <c r="E115" s="1" t="n">
        <v>46261</v>
      </c>
      <c r="F115" t="inlineStr">
        <is>
          <t>VÄSTMANLANDS LÄN</t>
        </is>
      </c>
      <c r="G115" t="inlineStr">
        <is>
          <t>SURAHAMMAR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42829-2022</t>
        </is>
      </c>
      <c r="B116" t="inlineStr">
        <is>
          <t>avverkningsanmälan</t>
        </is>
      </c>
      <c r="C116" t="inlineStr">
        <is>
          <t>Avverkning för annat ändamål</t>
        </is>
      </c>
      <c r="D116" s="1" t="n">
        <v>44832</v>
      </c>
      <c r="E116" s="1" t="n">
        <v>46261</v>
      </c>
      <c r="F116" t="inlineStr">
        <is>
          <t>VÄSTMANLANDS LÄN</t>
        </is>
      </c>
      <c r="G116" t="inlineStr">
        <is>
          <t>SURAHAMMAR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48205-2023</t>
        </is>
      </c>
      <c r="B117" t="inlineStr">
        <is>
          <t>avverkningsanmälan</t>
        </is>
      </c>
      <c r="C117" t="inlineStr">
        <is>
          <t>Föryngringsavverkning</t>
        </is>
      </c>
      <c r="D117" s="1" t="n">
        <v>45205</v>
      </c>
      <c r="E117" s="1" t="n">
        <v>46261</v>
      </c>
      <c r="F117" t="inlineStr">
        <is>
          <t>VÄSTMANLANDS LÄN</t>
        </is>
      </c>
      <c r="G117" t="inlineStr">
        <is>
          <t>SURAHAMMAR</t>
        </is>
      </c>
      <c r="H117" t="inlineStr">
        <is>
          <t>Allmännings- och besparingsskogar</t>
        </is>
      </c>
      <c r="I117" t="n">
        <v>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33931-2022</t>
        </is>
      </c>
      <c r="B118" t="inlineStr">
        <is>
          <t>avverkningsanmälan</t>
        </is>
      </c>
      <c r="C118" t="inlineStr">
        <is>
          <t>Föryngringsavverkning</t>
        </is>
      </c>
      <c r="D118" s="1" t="n">
        <v>44790</v>
      </c>
      <c r="E118" s="1" t="n">
        <v>46261</v>
      </c>
      <c r="F118" t="inlineStr">
        <is>
          <t>VÄSTMANLANDS LÄN</t>
        </is>
      </c>
      <c r="G118" t="inlineStr">
        <is>
          <t>SURAHAMMAR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22662-2023</t>
        </is>
      </c>
      <c r="B119" t="inlineStr">
        <is>
          <t>avverkningsanmälan</t>
        </is>
      </c>
      <c r="C119" t="inlineStr">
        <is>
          <t>Avverkning för att bevara och utveckla /försöksver</t>
        </is>
      </c>
      <c r="D119" s="1" t="n">
        <v>45071</v>
      </c>
      <c r="E119" s="1" t="n">
        <v>46261</v>
      </c>
      <c r="F119" t="inlineStr">
        <is>
          <t>VÄSTMANLANDS LÄN</t>
        </is>
      </c>
      <c r="G119" t="inlineStr">
        <is>
          <t>SURAHAMMAR</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32223-2026</t>
        </is>
      </c>
      <c r="B120" t="inlineStr">
        <is>
          <t>avverkningsanmälan</t>
        </is>
      </c>
      <c r="C120" t="inlineStr">
        <is>
          <t>Föryngringsavverkning</t>
        </is>
      </c>
      <c r="D120" s="1" t="n">
        <v>46237</v>
      </c>
      <c r="E120" s="1" t="n">
        <v>46261</v>
      </c>
      <c r="F120" t="inlineStr">
        <is>
          <t>VÄSTMANLANDS LÄN</t>
        </is>
      </c>
      <c r="G120" t="inlineStr">
        <is>
          <t>SURAHAMMAR</t>
        </is>
      </c>
      <c r="H120" t="inlineStr">
        <is>
          <t>Allmännings- och besparingsskogar</t>
        </is>
      </c>
      <c r="I120" t="n">
        <v>8.199999999999999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32501-2026</t>
        </is>
      </c>
      <c r="B121" t="inlineStr">
        <is>
          <t>avverkningsanmälan</t>
        </is>
      </c>
      <c r="C121" t="inlineStr">
        <is>
          <t>Avverkning för annat ändamål</t>
        </is>
      </c>
      <c r="D121" s="1" t="n">
        <v>46239</v>
      </c>
      <c r="E121" s="1" t="n">
        <v>46261</v>
      </c>
      <c r="F121" t="inlineStr">
        <is>
          <t>VÄSTMANLANDS LÄN</t>
        </is>
      </c>
      <c r="G121" t="inlineStr">
        <is>
          <t>SURAHAMMAR</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22628-2026</t>
        </is>
      </c>
      <c r="B122" t="inlineStr">
        <is>
          <t>avverkningsanmälan</t>
        </is>
      </c>
      <c r="C122" t="inlineStr">
        <is>
          <t>Föryngringsavverkning</t>
        </is>
      </c>
      <c r="D122" s="1" t="n">
        <v>46155</v>
      </c>
      <c r="E122" s="1" t="n">
        <v>46261</v>
      </c>
      <c r="F122" t="inlineStr">
        <is>
          <t>VÄSTMANLANDS LÄN</t>
        </is>
      </c>
      <c r="G122" t="inlineStr">
        <is>
          <t>SURAHAMMAR</t>
        </is>
      </c>
      <c r="H122" t="inlineStr">
        <is>
          <t>Sveaskog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33933-2026</t>
        </is>
      </c>
      <c r="B123" t="inlineStr">
        <is>
          <t>avverkningsanmälan</t>
        </is>
      </c>
      <c r="C123" t="inlineStr">
        <is>
          <t>Föryngringsavverkning</t>
        </is>
      </c>
      <c r="D123" s="1" t="n">
        <v>46248</v>
      </c>
      <c r="E123" s="1" t="n">
        <v>46261</v>
      </c>
      <c r="F123" t="inlineStr">
        <is>
          <t>VÄSTMANLANDS LÄN</t>
        </is>
      </c>
      <c r="G123" t="inlineStr">
        <is>
          <t>SURAHAMMAR</t>
        </is>
      </c>
      <c r="H123" t="inlineStr">
        <is>
          <t>Bergvik skog väst AB</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46261</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24665-2023</t>
        </is>
      </c>
      <c r="B125" t="inlineStr">
        <is>
          <t>avverkningsanmälan</t>
        </is>
      </c>
      <c r="C125" t="inlineStr">
        <is>
          <t>Föryngringsavverkning</t>
        </is>
      </c>
      <c r="D125" s="1" t="n">
        <v>45084</v>
      </c>
      <c r="E125" s="1" t="n">
        <v>46261</v>
      </c>
      <c r="F125" t="inlineStr">
        <is>
          <t>VÄSTMANLANDS LÄN</t>
        </is>
      </c>
      <c r="G125" t="inlineStr">
        <is>
          <t>SURAHAMMAR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31061-2026</t>
        </is>
      </c>
      <c r="B126" t="inlineStr">
        <is>
          <t>avverkningsanmälan</t>
        </is>
      </c>
      <c r="C126" t="inlineStr">
        <is>
          <t>Föryngringsavverkning</t>
        </is>
      </c>
      <c r="D126" s="1" t="n">
        <v>46215</v>
      </c>
      <c r="E126" s="1" t="n">
        <v>46261</v>
      </c>
      <c r="F126" t="inlineStr">
        <is>
          <t>VÄSTMANLANDS LÄN</t>
        </is>
      </c>
      <c r="G126" t="inlineStr">
        <is>
          <t>SURAHAMMAR</t>
        </is>
      </c>
      <c r="H126" t="inlineStr">
        <is>
          <t>Sveaskog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72367-2021</t>
        </is>
      </c>
      <c r="B127" t="inlineStr">
        <is>
          <t>avverkningsanmälan</t>
        </is>
      </c>
      <c r="C127" t="inlineStr">
        <is>
          <t>Föryngringsavverkning</t>
        </is>
      </c>
      <c r="D127" s="1" t="n">
        <v>44545</v>
      </c>
      <c r="E127" s="1" t="n">
        <v>46261</v>
      </c>
      <c r="F127" t="inlineStr">
        <is>
          <t>VÄSTMANLANDS LÄN</t>
        </is>
      </c>
      <c r="G127" t="inlineStr">
        <is>
          <t>SURAHAMMAR</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42714-2022</t>
        </is>
      </c>
      <c r="B128" t="inlineStr">
        <is>
          <t>avverkningsanmälan</t>
        </is>
      </c>
      <c r="C128" t="inlineStr">
        <is>
          <t>Föryngringsavverkning</t>
        </is>
      </c>
      <c r="D128" s="1" t="n">
        <v>44832</v>
      </c>
      <c r="E128" s="1" t="n">
        <v>46261</v>
      </c>
      <c r="F128" t="inlineStr">
        <is>
          <t>VÄSTMANLANDS LÄN</t>
        </is>
      </c>
      <c r="G128" t="inlineStr">
        <is>
          <t>SURAHAMMAR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19099-2022</t>
        </is>
      </c>
      <c r="B129" t="inlineStr">
        <is>
          <t>avverkningsanmälan</t>
        </is>
      </c>
      <c r="C129" t="inlineStr">
        <is>
          <t>Föryngringsavverkning</t>
        </is>
      </c>
      <c r="D129" s="1" t="n">
        <v>44691</v>
      </c>
      <c r="E129" s="1" t="n">
        <v>46261</v>
      </c>
      <c r="F129" t="inlineStr">
        <is>
          <t>VÄSTMANLANDS LÄN</t>
        </is>
      </c>
      <c r="G129" t="inlineStr">
        <is>
          <t>SURAHAMMAR</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46261</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35682-2022</t>
        </is>
      </c>
      <c r="B131" t="inlineStr">
        <is>
          <t>avverkningsanmälan</t>
        </is>
      </c>
      <c r="C131" t="inlineStr">
        <is>
          <t>Föryngringsavverkning</t>
        </is>
      </c>
      <c r="D131" s="1" t="n">
        <v>44799</v>
      </c>
      <c r="E131" s="1" t="n">
        <v>46261</v>
      </c>
      <c r="F131" t="inlineStr">
        <is>
          <t>VÄSTMANLANDS LÄN</t>
        </is>
      </c>
      <c r="G131" t="inlineStr">
        <is>
          <t>SURAHAMMAR</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2867-2024</t>
        </is>
      </c>
      <c r="B132" t="inlineStr">
        <is>
          <t>avverkningsanmälan</t>
        </is>
      </c>
      <c r="C132" t="inlineStr">
        <is>
          <t>Föryngringsavverkning</t>
        </is>
      </c>
      <c r="D132" s="1" t="n">
        <v>45315</v>
      </c>
      <c r="E132" s="1" t="n">
        <v>46261</v>
      </c>
      <c r="F132" t="inlineStr">
        <is>
          <t>VÄSTMANLANDS LÄN</t>
        </is>
      </c>
      <c r="G132" t="inlineStr">
        <is>
          <t>SURAHAMMAR</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2660-2024</t>
        </is>
      </c>
      <c r="B133" t="inlineStr">
        <is>
          <t>avverkningsanmälan</t>
        </is>
      </c>
      <c r="C133" t="inlineStr">
        <is>
          <t>Föryngringsavverkning</t>
        </is>
      </c>
      <c r="D133" s="1" t="n">
        <v>45310</v>
      </c>
      <c r="E133" s="1" t="n">
        <v>46261</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5567-2022</t>
        </is>
      </c>
      <c r="B134" t="inlineStr">
        <is>
          <t>avverkningsanmälan</t>
        </is>
      </c>
      <c r="C134" t="inlineStr">
        <is>
          <t>Föryngringsavverkning</t>
        </is>
      </c>
      <c r="D134" s="1" t="n">
        <v>44595</v>
      </c>
      <c r="E134" s="1" t="n">
        <v>46261</v>
      </c>
      <c r="F134" t="inlineStr">
        <is>
          <t>VÄSTMANLANDS LÄN</t>
        </is>
      </c>
      <c r="G134" t="inlineStr">
        <is>
          <t>SURAHAMMAR</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3085-2023</t>
        </is>
      </c>
      <c r="B135" t="inlineStr">
        <is>
          <t>avverkningsanmälan</t>
        </is>
      </c>
      <c r="C135" t="inlineStr">
        <is>
          <t>Föryngringsavverkning</t>
        </is>
      </c>
      <c r="D135" s="1" t="n">
        <v>44946</v>
      </c>
      <c r="E135" s="1" t="n">
        <v>46261</v>
      </c>
      <c r="F135" t="inlineStr">
        <is>
          <t>VÄSTMANLANDS LÄN</t>
        </is>
      </c>
      <c r="G135" t="inlineStr">
        <is>
          <t>SURAHAMMAR</t>
        </is>
      </c>
      <c r="H135" t="inlineStr">
        <is>
          <t>Kyrkan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7848-2022</t>
        </is>
      </c>
      <c r="B136" t="inlineStr">
        <is>
          <t>avverkningsanmälan</t>
        </is>
      </c>
      <c r="C136" t="inlineStr">
        <is>
          <t>Föryngringsavverkning</t>
        </is>
      </c>
      <c r="D136" s="1" t="n">
        <v>44608</v>
      </c>
      <c r="E136" s="1" t="n">
        <v>46261</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15743-2023</t>
        </is>
      </c>
      <c r="B137" t="inlineStr">
        <is>
          <t>avverkningsanmälan</t>
        </is>
      </c>
      <c r="C137" t="inlineStr">
        <is>
          <t>Föryngringsavverkning</t>
        </is>
      </c>
      <c r="D137" s="1" t="n">
        <v>45021</v>
      </c>
      <c r="E137" s="1" t="n">
        <v>46261</v>
      </c>
      <c r="F137" t="inlineStr">
        <is>
          <t>VÄSTMANLANDS LÄN</t>
        </is>
      </c>
      <c r="G137" t="inlineStr">
        <is>
          <t>SURAHAMMAR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15637-2022</t>
        </is>
      </c>
      <c r="B138" t="inlineStr">
        <is>
          <t>avverkningsanmälan</t>
        </is>
      </c>
      <c r="C138" t="inlineStr">
        <is>
          <t>Föryngringsavverkning</t>
        </is>
      </c>
      <c r="D138" s="1" t="n">
        <v>44662</v>
      </c>
      <c r="E138" s="1" t="n">
        <v>46261</v>
      </c>
      <c r="F138" t="inlineStr">
        <is>
          <t>VÄSTMANLANDS LÄN</t>
        </is>
      </c>
      <c r="G138" t="inlineStr">
        <is>
          <t>SURAHAMMAR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19786-2023</t>
        </is>
      </c>
      <c r="B139" t="inlineStr">
        <is>
          <t>avverkningsanmälan</t>
        </is>
      </c>
      <c r="C139" t="inlineStr">
        <is>
          <t>Föryngringsavverkning</t>
        </is>
      </c>
      <c r="D139" s="1" t="n">
        <v>45050</v>
      </c>
      <c r="E139" s="1" t="n">
        <v>46261</v>
      </c>
      <c r="F139" t="inlineStr">
        <is>
          <t>VÄSTMANLANDS LÄN</t>
        </is>
      </c>
      <c r="G139" t="inlineStr">
        <is>
          <t>SURAHAMMAR</t>
        </is>
      </c>
      <c r="H139" t="inlineStr">
        <is>
          <t>Bergvik skog väst AB</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7787-2024</t>
        </is>
      </c>
      <c r="B140" t="inlineStr">
        <is>
          <t>avverkningsanmälan</t>
        </is>
      </c>
      <c r="C140" t="inlineStr">
        <is>
          <t>Föryngringsavverkning</t>
        </is>
      </c>
      <c r="D140" s="1" t="n">
        <v>45348</v>
      </c>
      <c r="E140" s="1" t="n">
        <v>46261</v>
      </c>
      <c r="F140" t="inlineStr">
        <is>
          <t>VÄSTMANLANDS LÄN</t>
        </is>
      </c>
      <c r="G140" t="inlineStr">
        <is>
          <t>SURAHAMMAR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46261</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46261</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46261</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46261</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2026-08-27T01:49:53Z</dcterms:created>
  <dcterms:modified xmlns:dcterms="http://purl.org/dc/terms/" xmlns:xsi="http://www.w3.org/2001/XMLSchema-instance" xsi:type="dcterms:W3CDTF">2026-08-27T01:49:53Z</dcterms:modified>
</cp:coreProperties>
</file>