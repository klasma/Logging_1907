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46078</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46078</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46078</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46078</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46078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46078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46078</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46078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46078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46078</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46078</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46078</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46078</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46078</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46078</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46078</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46078</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46078</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46078</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46078</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46078</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46078</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39694-2025</t>
        </is>
      </c>
      <c r="B30" s="1" t="n">
        <v>45890</v>
      </c>
      <c r="C30" s="1" t="n">
        <v>46078</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42708-2022</t>
        </is>
      </c>
      <c r="B31" s="1" t="n">
        <v>44832</v>
      </c>
      <c r="C31" s="1" t="n">
        <v>46078</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46078</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46078</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49718-2023</t>
        </is>
      </c>
      <c r="B34" s="1" t="n">
        <v>45212</v>
      </c>
      <c r="C34" s="1" t="n">
        <v>46078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20391-2024</t>
        </is>
      </c>
      <c r="B35" s="1" t="n">
        <v>45435</v>
      </c>
      <c r="C35" s="1" t="n">
        <v>46078</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46078</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46078</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10236-2026</t>
        </is>
      </c>
      <c r="B38" s="1" t="n">
        <v>46076.54277777778</v>
      </c>
      <c r="C38" s="1" t="n">
        <v>46078</v>
      </c>
      <c r="D38" t="inlineStr">
        <is>
          <t>VÄSTMANLANDS LÄN</t>
        </is>
      </c>
      <c r="E38" t="inlineStr">
        <is>
          <t>SURAHAMMAR</t>
        </is>
      </c>
      <c r="F38" t="inlineStr">
        <is>
          <t>Allmännings- och besparingsskogar</t>
        </is>
      </c>
      <c r="G38" t="n">
        <v>2.8</v>
      </c>
      <c r="H38" t="n">
        <v>1</v>
      </c>
      <c r="I38" t="n">
        <v>1</v>
      </c>
      <c r="J38" t="n">
        <v>0</v>
      </c>
      <c r="K38" t="n">
        <v>1</v>
      </c>
      <c r="L38" t="n">
        <v>0</v>
      </c>
      <c r="M38" t="n">
        <v>0</v>
      </c>
      <c r="N38" t="n">
        <v>0</v>
      </c>
      <c r="O38" t="n">
        <v>1</v>
      </c>
      <c r="P38" t="n">
        <v>1</v>
      </c>
      <c r="Q38" t="n">
        <v>3</v>
      </c>
      <c r="R38" s="2" t="inlineStr">
        <is>
          <t>Vågticka
Brandticka
Revlummer</t>
        </is>
      </c>
      <c r="S38">
        <f>HYPERLINK("https://klasma.github.io/Logging_1907/artfynd/A 10236-2026 artfynd.xlsx", "A 10236-2026")</f>
        <v/>
      </c>
      <c r="T38">
        <f>HYPERLINK("https://klasma.github.io/Logging_1907/kartor/A 10236-2026 karta.png", "A 10236-2026")</f>
        <v/>
      </c>
      <c r="V38">
        <f>HYPERLINK("https://klasma.github.io/Logging_1907/klagomål/A 10236-2026 FSC-klagomål.docx", "A 10236-2026")</f>
        <v/>
      </c>
      <c r="W38">
        <f>HYPERLINK("https://klasma.github.io/Logging_1907/klagomålsmail/A 10236-2026 FSC-klagomål mail.docx", "A 10236-2026")</f>
        <v/>
      </c>
      <c r="X38">
        <f>HYPERLINK("https://klasma.github.io/Logging_1907/tillsyn/A 10236-2026 tillsynsbegäran.docx", "A 10236-2026")</f>
        <v/>
      </c>
      <c r="Y38">
        <f>HYPERLINK("https://klasma.github.io/Logging_1907/tillsynsmail/A 10236-2026 tillsynsbegäran mail.docx", "A 10236-2026")</f>
        <v/>
      </c>
    </row>
    <row r="39" ht="15" customHeight="1">
      <c r="A39" t="inlineStr">
        <is>
          <t>A 37801-2021</t>
        </is>
      </c>
      <c r="B39" s="1" t="n">
        <v>44402</v>
      </c>
      <c r="C39" s="1" t="n">
        <v>46078</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21618-2025</t>
        </is>
      </c>
      <c r="B40" s="1" t="n">
        <v>45783</v>
      </c>
      <c r="C40" s="1" t="n">
        <v>46078</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40403-2025</t>
        </is>
      </c>
      <c r="B41" s="1" t="n">
        <v>45895</v>
      </c>
      <c r="C41" s="1" t="n">
        <v>46078</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41576-2022</t>
        </is>
      </c>
      <c r="B42" s="1" t="n">
        <v>44826</v>
      </c>
      <c r="C42" s="1" t="n">
        <v>46078</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62097-2024</t>
        </is>
      </c>
      <c r="B43" s="1" t="n">
        <v>45646</v>
      </c>
      <c r="C43" s="1" t="n">
        <v>46078</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63146-2025</t>
        </is>
      </c>
      <c r="B44" s="1" t="n">
        <v>46009</v>
      </c>
      <c r="C44" s="1" t="n">
        <v>46078</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37800-2021</t>
        </is>
      </c>
      <c r="B45" s="1" t="n">
        <v>44402</v>
      </c>
      <c r="C45" s="1" t="n">
        <v>46078</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4082-2025</t>
        </is>
      </c>
      <c r="B46" s="1" t="n">
        <v>45684</v>
      </c>
      <c r="C46" s="1" t="n">
        <v>46078</v>
      </c>
      <c r="D46" t="inlineStr">
        <is>
          <t>VÄSTMANLANDS LÄN</t>
        </is>
      </c>
      <c r="E46" t="inlineStr">
        <is>
          <t>SURAHAMMAR</t>
        </is>
      </c>
      <c r="F46" t="inlineStr">
        <is>
          <t>Bergvik skog väst AB</t>
        </is>
      </c>
      <c r="G46" t="n">
        <v>11.6</v>
      </c>
      <c r="H46" t="n">
        <v>1</v>
      </c>
      <c r="I46" t="n">
        <v>2</v>
      </c>
      <c r="J46" t="n">
        <v>0</v>
      </c>
      <c r="K46" t="n">
        <v>0</v>
      </c>
      <c r="L46" t="n">
        <v>0</v>
      </c>
      <c r="M46" t="n">
        <v>0</v>
      </c>
      <c r="N46" t="n">
        <v>0</v>
      </c>
      <c r="O46" t="n">
        <v>0</v>
      </c>
      <c r="P46" t="n">
        <v>0</v>
      </c>
      <c r="Q46" t="n">
        <v>2</v>
      </c>
      <c r="R46" s="2" t="inlineStr">
        <is>
          <t>Grönpyrola
Plattlummer</t>
        </is>
      </c>
      <c r="S46">
        <f>HYPERLINK("https://klasma.github.io/Logging_1907/artfynd/A 4082-2025 artfynd.xlsx", "A 4082-2025")</f>
        <v/>
      </c>
      <c r="T46">
        <f>HYPERLINK("https://klasma.github.io/Logging_1907/kartor/A 4082-2025 karta.png", "A 4082-2025")</f>
        <v/>
      </c>
      <c r="V46">
        <f>HYPERLINK("https://klasma.github.io/Logging_1907/klagomål/A 4082-2025 FSC-klagomål.docx", "A 4082-2025")</f>
        <v/>
      </c>
      <c r="W46">
        <f>HYPERLINK("https://klasma.github.io/Logging_1907/klagomålsmail/A 4082-2025 FSC-klagomål mail.docx", "A 4082-2025")</f>
        <v/>
      </c>
      <c r="X46">
        <f>HYPERLINK("https://klasma.github.io/Logging_1907/tillsyn/A 4082-2025 tillsynsbegäran.docx", "A 4082-2025")</f>
        <v/>
      </c>
      <c r="Y46">
        <f>HYPERLINK("https://klasma.github.io/Logging_1907/tillsynsmail/A 4082-2025 tillsynsbegäran mail.docx", "A 4082-2025")</f>
        <v/>
      </c>
    </row>
    <row r="47" ht="15" customHeight="1">
      <c r="A47" t="inlineStr">
        <is>
          <t>A 41204-2023</t>
        </is>
      </c>
      <c r="B47" s="1" t="n">
        <v>45174</v>
      </c>
      <c r="C47" s="1" t="n">
        <v>46078</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38170-2021</t>
        </is>
      </c>
      <c r="B48" s="1" t="n">
        <v>44405.43472222222</v>
      </c>
      <c r="C48" s="1" t="n">
        <v>46078</v>
      </c>
      <c r="D48" t="inlineStr">
        <is>
          <t>VÄSTMANLANDS LÄN</t>
        </is>
      </c>
      <c r="E48" t="inlineStr">
        <is>
          <t>SURAHAMMAR</t>
        </is>
      </c>
      <c r="F48" t="inlineStr">
        <is>
          <t>Sveaskog</t>
        </is>
      </c>
      <c r="G48" t="n">
        <v>1.2</v>
      </c>
      <c r="H48" t="n">
        <v>1</v>
      </c>
      <c r="I48" t="n">
        <v>0</v>
      </c>
      <c r="J48" t="n">
        <v>0</v>
      </c>
      <c r="K48" t="n">
        <v>0</v>
      </c>
      <c r="L48" t="n">
        <v>0</v>
      </c>
      <c r="M48" t="n">
        <v>0</v>
      </c>
      <c r="N48" t="n">
        <v>0</v>
      </c>
      <c r="O48" t="n">
        <v>0</v>
      </c>
      <c r="P48" t="n">
        <v>0</v>
      </c>
      <c r="Q48" t="n">
        <v>1</v>
      </c>
      <c r="R48" s="2" t="inlineStr">
        <is>
          <t>Revlummer</t>
        </is>
      </c>
      <c r="S48">
        <f>HYPERLINK("https://klasma.github.io/Logging_1907/artfynd/A 38170-2021 artfynd.xlsx", "A 38170-2021")</f>
        <v/>
      </c>
      <c r="T48">
        <f>HYPERLINK("https://klasma.github.io/Logging_1907/kartor/A 38170-2021 karta.png", "A 38170-2021")</f>
        <v/>
      </c>
      <c r="V48">
        <f>HYPERLINK("https://klasma.github.io/Logging_1907/klagomål/A 38170-2021 FSC-klagomål.docx", "A 38170-2021")</f>
        <v/>
      </c>
      <c r="W48">
        <f>HYPERLINK("https://klasma.github.io/Logging_1907/klagomålsmail/A 38170-2021 FSC-klagomål mail.docx", "A 38170-2021")</f>
        <v/>
      </c>
      <c r="X48">
        <f>HYPERLINK("https://klasma.github.io/Logging_1907/tillsyn/A 38170-2021 tillsynsbegäran.docx", "A 38170-2021")</f>
        <v/>
      </c>
      <c r="Y48">
        <f>HYPERLINK("https://klasma.github.io/Logging_1907/tillsynsmail/A 38170-2021 tillsynsbegäran mail.docx", "A 38170-2021")</f>
        <v/>
      </c>
    </row>
    <row r="49" ht="15" customHeight="1">
      <c r="A49" t="inlineStr">
        <is>
          <t>A 26700-2022</t>
        </is>
      </c>
      <c r="B49" s="1" t="n">
        <v>44739</v>
      </c>
      <c r="C49" s="1" t="n">
        <v>46078</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67611-2021</t>
        </is>
      </c>
      <c r="B50" s="1" t="n">
        <v>44524</v>
      </c>
      <c r="C50" s="1" t="n">
        <v>46078</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18717-2021</t>
        </is>
      </c>
      <c r="B51" s="1" t="n">
        <v>44306</v>
      </c>
      <c r="C51" s="1" t="n">
        <v>46078</v>
      </c>
      <c r="D51" t="inlineStr">
        <is>
          <t>VÄSTMANLANDS LÄN</t>
        </is>
      </c>
      <c r="E51" t="inlineStr">
        <is>
          <t>SURAHAMMAR</t>
        </is>
      </c>
      <c r="F51" t="inlineStr">
        <is>
          <t>Bergvik skog väst AB</t>
        </is>
      </c>
      <c r="G51" t="n">
        <v>18</v>
      </c>
      <c r="H51" t="n">
        <v>1</v>
      </c>
      <c r="I51" t="n">
        <v>0</v>
      </c>
      <c r="J51" t="n">
        <v>0</v>
      </c>
      <c r="K51" t="n">
        <v>0</v>
      </c>
      <c r="L51" t="n">
        <v>0</v>
      </c>
      <c r="M51" t="n">
        <v>0</v>
      </c>
      <c r="N51" t="n">
        <v>0</v>
      </c>
      <c r="O51" t="n">
        <v>0</v>
      </c>
      <c r="P51" t="n">
        <v>0</v>
      </c>
      <c r="Q51" t="n">
        <v>1</v>
      </c>
      <c r="R51" s="2" t="inlineStr">
        <is>
          <t>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30074-2023</t>
        </is>
      </c>
      <c r="B52" s="1" t="n">
        <v>45110</v>
      </c>
      <c r="C52" s="1" t="n">
        <v>46078</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46078</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34582-2025</t>
        </is>
      </c>
      <c r="B54" s="1" t="n">
        <v>45846</v>
      </c>
      <c r="C54" s="1" t="n">
        <v>46078</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42089-2025</t>
        </is>
      </c>
      <c r="B55" s="1" t="n">
        <v>45902</v>
      </c>
      <c r="C55" s="1" t="n">
        <v>46078</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13788-2025</t>
        </is>
      </c>
      <c r="B56" s="1" t="n">
        <v>45737.45327546296</v>
      </c>
      <c r="C56" s="1" t="n">
        <v>46078</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56362-2023</t>
        </is>
      </c>
      <c r="B57" s="1" t="n">
        <v>45236</v>
      </c>
      <c r="C57" s="1" t="n">
        <v>46078</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46078</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25583-2024</t>
        </is>
      </c>
      <c r="B59" s="1" t="n">
        <v>45463</v>
      </c>
      <c r="C59" s="1" t="n">
        <v>46078</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46078</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46078</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46078</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55042-2025</t>
        </is>
      </c>
      <c r="B63" s="1" t="n">
        <v>45967.65858796296</v>
      </c>
      <c r="C63" s="1" t="n">
        <v>46078</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69777-2021</t>
        </is>
      </c>
      <c r="B64" s="1" t="n">
        <v>44532</v>
      </c>
      <c r="C64" s="1" t="n">
        <v>46078</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56768-2025</t>
        </is>
      </c>
      <c r="B65" s="1" t="n">
        <v>45978</v>
      </c>
      <c r="C65" s="1" t="n">
        <v>46078</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17632-2022</t>
        </is>
      </c>
      <c r="B66" s="1" t="n">
        <v>44680</v>
      </c>
      <c r="C66" s="1" t="n">
        <v>46078</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44356-2024</t>
        </is>
      </c>
      <c r="B67" s="1" t="n">
        <v>45573</v>
      </c>
      <c r="C67" s="1" t="n">
        <v>46078</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63145-2025</t>
        </is>
      </c>
      <c r="B68" s="1" t="n">
        <v>46009</v>
      </c>
      <c r="C68" s="1" t="n">
        <v>46078</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22840-2023</t>
        </is>
      </c>
      <c r="B69" s="1" t="n">
        <v>45072</v>
      </c>
      <c r="C69" s="1" t="n">
        <v>46078</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33231-2024</t>
        </is>
      </c>
      <c r="B70" s="1" t="n">
        <v>45518</v>
      </c>
      <c r="C70" s="1" t="n">
        <v>46078</v>
      </c>
      <c r="D70" t="inlineStr">
        <is>
          <t>VÄSTMANLANDS LÄN</t>
        </is>
      </c>
      <c r="E70" t="inlineStr">
        <is>
          <t>SURAHAMMAR</t>
        </is>
      </c>
      <c r="F70" t="inlineStr">
        <is>
          <t>Bergvik skog väst AB</t>
        </is>
      </c>
      <c r="G70" t="n">
        <v>1.5</v>
      </c>
      <c r="H70" t="n">
        <v>1</v>
      </c>
      <c r="I70" t="n">
        <v>0</v>
      </c>
      <c r="J70" t="n">
        <v>0</v>
      </c>
      <c r="K70" t="n">
        <v>0</v>
      </c>
      <c r="L70" t="n">
        <v>0</v>
      </c>
      <c r="M70" t="n">
        <v>0</v>
      </c>
      <c r="N70" t="n">
        <v>0</v>
      </c>
      <c r="O70" t="n">
        <v>0</v>
      </c>
      <c r="P70" t="n">
        <v>0</v>
      </c>
      <c r="Q70" t="n">
        <v>1</v>
      </c>
      <c r="R70" s="2" t="inlineStr">
        <is>
          <t>Mindre vattensalamander</t>
        </is>
      </c>
      <c r="S70">
        <f>HYPERLINK("https://klasma.github.io/Logging_1907/artfynd/A 33231-2024 artfynd.xlsx", "A 33231-2024")</f>
        <v/>
      </c>
      <c r="T70">
        <f>HYPERLINK("https://klasma.github.io/Logging_1907/kartor/A 33231-2024 karta.png", "A 33231-2024")</f>
        <v/>
      </c>
      <c r="V70">
        <f>HYPERLINK("https://klasma.github.io/Logging_1907/klagomål/A 33231-2024 FSC-klagomål.docx", "A 33231-2024")</f>
        <v/>
      </c>
      <c r="W70">
        <f>HYPERLINK("https://klasma.github.io/Logging_1907/klagomålsmail/A 33231-2024 FSC-klagomål mail.docx", "A 33231-2024")</f>
        <v/>
      </c>
      <c r="X70">
        <f>HYPERLINK("https://klasma.github.io/Logging_1907/tillsyn/A 33231-2024 tillsynsbegäran.docx", "A 33231-2024")</f>
        <v/>
      </c>
      <c r="Y70">
        <f>HYPERLINK("https://klasma.github.io/Logging_1907/tillsynsmail/A 33231-2024 tillsynsbegäran mail.docx", "A 33231-2024")</f>
        <v/>
      </c>
    </row>
    <row r="71" ht="15" customHeight="1">
      <c r="A71" t="inlineStr">
        <is>
          <t>A 14001-2023</t>
        </is>
      </c>
      <c r="B71" s="1" t="n">
        <v>45007</v>
      </c>
      <c r="C71" s="1" t="n">
        <v>46078</v>
      </c>
      <c r="D71" t="inlineStr">
        <is>
          <t>VÄSTMANLANDS LÄN</t>
        </is>
      </c>
      <c r="E71" t="inlineStr">
        <is>
          <t>SURAHAMMAR</t>
        </is>
      </c>
      <c r="F71" t="inlineStr">
        <is>
          <t>Bergvik skog väst AB</t>
        </is>
      </c>
      <c r="G71" t="n">
        <v>1</v>
      </c>
      <c r="H71" t="n">
        <v>0</v>
      </c>
      <c r="I71" t="n">
        <v>0</v>
      </c>
      <c r="J71" t="n">
        <v>1</v>
      </c>
      <c r="K71" t="n">
        <v>0</v>
      </c>
      <c r="L71" t="n">
        <v>0</v>
      </c>
      <c r="M71" t="n">
        <v>0</v>
      </c>
      <c r="N71" t="n">
        <v>0</v>
      </c>
      <c r="O71" t="n">
        <v>1</v>
      </c>
      <c r="P71" t="n">
        <v>0</v>
      </c>
      <c r="Q71" t="n">
        <v>1</v>
      </c>
      <c r="R71" s="2" t="inlineStr">
        <is>
          <t>Motaggsvamp</t>
        </is>
      </c>
      <c r="S71">
        <f>HYPERLINK("https://klasma.github.io/Logging_1907/artfynd/A 14001-2023 artfynd.xlsx", "A 14001-2023")</f>
        <v/>
      </c>
      <c r="T71">
        <f>HYPERLINK("https://klasma.github.io/Logging_1907/kartor/A 14001-2023 karta.png", "A 14001-2023")</f>
        <v/>
      </c>
      <c r="V71">
        <f>HYPERLINK("https://klasma.github.io/Logging_1907/klagomål/A 14001-2023 FSC-klagomål.docx", "A 14001-2023")</f>
        <v/>
      </c>
      <c r="W71">
        <f>HYPERLINK("https://klasma.github.io/Logging_1907/klagomålsmail/A 14001-2023 FSC-klagomål mail.docx", "A 14001-2023")</f>
        <v/>
      </c>
      <c r="X71">
        <f>HYPERLINK("https://klasma.github.io/Logging_1907/tillsyn/A 14001-2023 tillsynsbegäran.docx", "A 14001-2023")</f>
        <v/>
      </c>
      <c r="Y71">
        <f>HYPERLINK("https://klasma.github.io/Logging_1907/tillsynsmail/A 14001-2023 tillsynsbegäran mail.docx", "A 14001-2023")</f>
        <v/>
      </c>
    </row>
    <row r="72" ht="15" customHeight="1">
      <c r="A72" t="inlineStr">
        <is>
          <t>A 13971-2023</t>
        </is>
      </c>
      <c r="B72" s="1" t="n">
        <v>45007</v>
      </c>
      <c r="C72" s="1" t="n">
        <v>46078</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31176-2024</t>
        </is>
      </c>
      <c r="B73" s="1" t="n">
        <v>45503</v>
      </c>
      <c r="C73" s="1" t="n">
        <v>46078</v>
      </c>
      <c r="D73" t="inlineStr">
        <is>
          <t>VÄSTMANLANDS LÄN</t>
        </is>
      </c>
      <c r="E73" t="inlineStr">
        <is>
          <t>SURAHAMMAR</t>
        </is>
      </c>
      <c r="F73" t="inlineStr">
        <is>
          <t>Allmännings- och besparingsskogar</t>
        </is>
      </c>
      <c r="G73" t="n">
        <v>10.7</v>
      </c>
      <c r="H73" t="n">
        <v>0</v>
      </c>
      <c r="I73" t="n">
        <v>0</v>
      </c>
      <c r="J73" t="n">
        <v>1</v>
      </c>
      <c r="K73" t="n">
        <v>0</v>
      </c>
      <c r="L73" t="n">
        <v>0</v>
      </c>
      <c r="M73" t="n">
        <v>0</v>
      </c>
      <c r="N73" t="n">
        <v>0</v>
      </c>
      <c r="O73" t="n">
        <v>1</v>
      </c>
      <c r="P73" t="n">
        <v>0</v>
      </c>
      <c r="Q73" t="n">
        <v>1</v>
      </c>
      <c r="R73" s="2" t="inlineStr">
        <is>
          <t>Doftskinn</t>
        </is>
      </c>
      <c r="S73">
        <f>HYPERLINK("https://klasma.github.io/Logging_1907/artfynd/A 31176-2024 artfynd.xlsx", "A 31176-2024")</f>
        <v/>
      </c>
      <c r="T73">
        <f>HYPERLINK("https://klasma.github.io/Logging_1907/kartor/A 31176-2024 karta.png", "A 31176-2024")</f>
        <v/>
      </c>
      <c r="V73">
        <f>HYPERLINK("https://klasma.github.io/Logging_1907/klagomål/A 31176-2024 FSC-klagomål.docx", "A 31176-2024")</f>
        <v/>
      </c>
      <c r="W73">
        <f>HYPERLINK("https://klasma.github.io/Logging_1907/klagomålsmail/A 31176-2024 FSC-klagomål mail.docx", "A 31176-2024")</f>
        <v/>
      </c>
      <c r="X73">
        <f>HYPERLINK("https://klasma.github.io/Logging_1907/tillsyn/A 31176-2024 tillsynsbegäran.docx", "A 31176-2024")</f>
        <v/>
      </c>
      <c r="Y73">
        <f>HYPERLINK("https://klasma.github.io/Logging_1907/tillsynsmail/A 31176-2024 tillsynsbegäran mail.docx", "A 31176-2024")</f>
        <v/>
      </c>
    </row>
    <row r="74" ht="15" customHeight="1">
      <c r="A74" t="inlineStr">
        <is>
          <t>A 43451-2024</t>
        </is>
      </c>
      <c r="B74" s="1" t="n">
        <v>45568</v>
      </c>
      <c r="C74" s="1" t="n">
        <v>46078</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64073-2021</t>
        </is>
      </c>
      <c r="B75" s="1" t="n">
        <v>44509</v>
      </c>
      <c r="C75" s="1" t="n">
        <v>46078</v>
      </c>
      <c r="D75" t="inlineStr">
        <is>
          <t>VÄSTMANLANDS LÄN</t>
        </is>
      </c>
      <c r="E75" t="inlineStr">
        <is>
          <t>SURAHAMMAR</t>
        </is>
      </c>
      <c r="G75" t="n">
        <v>0.4</v>
      </c>
      <c r="H75" t="n">
        <v>0</v>
      </c>
      <c r="I75" t="n">
        <v>0</v>
      </c>
      <c r="J75" t="n">
        <v>0</v>
      </c>
      <c r="K75" t="n">
        <v>0</v>
      </c>
      <c r="L75" t="n">
        <v>0</v>
      </c>
      <c r="M75" t="n">
        <v>0</v>
      </c>
      <c r="N75" t="n">
        <v>0</v>
      </c>
      <c r="O75" t="n">
        <v>0</v>
      </c>
      <c r="P75" t="n">
        <v>0</v>
      </c>
      <c r="Q75" t="n">
        <v>0</v>
      </c>
      <c r="R75" s="2" t="inlineStr"/>
    </row>
    <row r="76" ht="15" customHeight="1">
      <c r="A76" t="inlineStr">
        <is>
          <t>A 24804-2021</t>
        </is>
      </c>
      <c r="B76" s="1" t="n">
        <v>44340</v>
      </c>
      <c r="C76" s="1" t="n">
        <v>46078</v>
      </c>
      <c r="D76" t="inlineStr">
        <is>
          <t>VÄSTMANLANDS LÄN</t>
        </is>
      </c>
      <c r="E76" t="inlineStr">
        <is>
          <t>SURAHAMMAR</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19845-2022</t>
        </is>
      </c>
      <c r="B77" s="1" t="n">
        <v>44696.88850694444</v>
      </c>
      <c r="C77" s="1" t="n">
        <v>46078</v>
      </c>
      <c r="D77" t="inlineStr">
        <is>
          <t>VÄSTMANLANDS LÄN</t>
        </is>
      </c>
      <c r="E77" t="inlineStr">
        <is>
          <t>SURAHAMMAR</t>
        </is>
      </c>
      <c r="F77" t="inlineStr">
        <is>
          <t>Kommuner</t>
        </is>
      </c>
      <c r="G77" t="n">
        <v>3.3</v>
      </c>
      <c r="H77" t="n">
        <v>0</v>
      </c>
      <c r="I77" t="n">
        <v>0</v>
      </c>
      <c r="J77" t="n">
        <v>0</v>
      </c>
      <c r="K77" t="n">
        <v>0</v>
      </c>
      <c r="L77" t="n">
        <v>0</v>
      </c>
      <c r="M77" t="n">
        <v>0</v>
      </c>
      <c r="N77" t="n">
        <v>0</v>
      </c>
      <c r="O77" t="n">
        <v>0</v>
      </c>
      <c r="P77" t="n">
        <v>0</v>
      </c>
      <c r="Q77" t="n">
        <v>0</v>
      </c>
      <c r="R77" s="2" t="inlineStr"/>
    </row>
    <row r="78" ht="15" customHeight="1">
      <c r="A78" t="inlineStr">
        <is>
          <t>A 19844-2022</t>
        </is>
      </c>
      <c r="B78" s="1" t="n">
        <v>44696.88001157407</v>
      </c>
      <c r="C78" s="1" t="n">
        <v>46078</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32491-2022</t>
        </is>
      </c>
      <c r="B79" s="1" t="n">
        <v>44782</v>
      </c>
      <c r="C79" s="1" t="n">
        <v>46078</v>
      </c>
      <c r="D79" t="inlineStr">
        <is>
          <t>VÄSTMANLANDS LÄN</t>
        </is>
      </c>
      <c r="E79" t="inlineStr">
        <is>
          <t>SURAHAMMAR</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37799-2021</t>
        </is>
      </c>
      <c r="B80" s="1" t="n">
        <v>44402</v>
      </c>
      <c r="C80" s="1" t="n">
        <v>46078</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46078</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38178-2021</t>
        </is>
      </c>
      <c r="B82" s="1" t="n">
        <v>44405</v>
      </c>
      <c r="C82" s="1" t="n">
        <v>46078</v>
      </c>
      <c r="D82" t="inlineStr">
        <is>
          <t>VÄSTMANLANDS LÄN</t>
        </is>
      </c>
      <c r="E82" t="inlineStr">
        <is>
          <t>SURAHAMMAR</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46078</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46078</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46078</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46078</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46078</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46078</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46078</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46078</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46078</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46078</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48205-2023</t>
        </is>
      </c>
      <c r="B93" s="1" t="n">
        <v>45205</v>
      </c>
      <c r="C93" s="1" t="n">
        <v>46078</v>
      </c>
      <c r="D93" t="inlineStr">
        <is>
          <t>VÄSTMANLANDS LÄN</t>
        </is>
      </c>
      <c r="E93" t="inlineStr">
        <is>
          <t>SURAHAMMAR</t>
        </is>
      </c>
      <c r="F93" t="inlineStr">
        <is>
          <t>Allmännings- och besparingsskogar</t>
        </is>
      </c>
      <c r="G93" t="n">
        <v>7.6</v>
      </c>
      <c r="H93" t="n">
        <v>0</v>
      </c>
      <c r="I93" t="n">
        <v>0</v>
      </c>
      <c r="J93" t="n">
        <v>0</v>
      </c>
      <c r="K93" t="n">
        <v>0</v>
      </c>
      <c r="L93" t="n">
        <v>0</v>
      </c>
      <c r="M93" t="n">
        <v>0</v>
      </c>
      <c r="N93" t="n">
        <v>0</v>
      </c>
      <c r="O93" t="n">
        <v>0</v>
      </c>
      <c r="P93" t="n">
        <v>0</v>
      </c>
      <c r="Q93" t="n">
        <v>0</v>
      </c>
      <c r="R93" s="2" t="inlineStr"/>
    </row>
    <row r="94" ht="15" customHeight="1">
      <c r="A94" t="inlineStr">
        <is>
          <t>A 15743-2023</t>
        </is>
      </c>
      <c r="B94" s="1" t="n">
        <v>45021</v>
      </c>
      <c r="C94" s="1" t="n">
        <v>46078</v>
      </c>
      <c r="D94" t="inlineStr">
        <is>
          <t>VÄSTMANLANDS LÄN</t>
        </is>
      </c>
      <c r="E94" t="inlineStr">
        <is>
          <t>SURAHAMMAR</t>
        </is>
      </c>
      <c r="G94" t="n">
        <v>0.5</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46078</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46078</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46078</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46078</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46078</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46078</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46078</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46078</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15739-2023</t>
        </is>
      </c>
      <c r="B103" s="1" t="n">
        <v>45021</v>
      </c>
      <c r="C103" s="1" t="n">
        <v>46078</v>
      </c>
      <c r="D103" t="inlineStr">
        <is>
          <t>VÄSTMANLANDS LÄN</t>
        </is>
      </c>
      <c r="E103" t="inlineStr">
        <is>
          <t>SURAHAMMAR</t>
        </is>
      </c>
      <c r="G103" t="n">
        <v>1.3</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46078</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38154-2021</t>
        </is>
      </c>
      <c r="B105" s="1" t="n">
        <v>44405.42373842592</v>
      </c>
      <c r="C105" s="1" t="n">
        <v>46078</v>
      </c>
      <c r="D105" t="inlineStr">
        <is>
          <t>VÄSTMANLANDS LÄN</t>
        </is>
      </c>
      <c r="E105" t="inlineStr">
        <is>
          <t>SURAHAMMAR</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31107-2025</t>
        </is>
      </c>
      <c r="B106" s="1" t="n">
        <v>45831</v>
      </c>
      <c r="C106" s="1" t="n">
        <v>46078</v>
      </c>
      <c r="D106" t="inlineStr">
        <is>
          <t>VÄSTMANLANDS LÄN</t>
        </is>
      </c>
      <c r="E106" t="inlineStr">
        <is>
          <t>SURAHAMMAR</t>
        </is>
      </c>
      <c r="F106" t="inlineStr">
        <is>
          <t>Kommuner</t>
        </is>
      </c>
      <c r="G106" t="n">
        <v>1.7</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46078</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46078</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46078</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46078</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33931-2022</t>
        </is>
      </c>
      <c r="B111" s="1" t="n">
        <v>44790.65153935185</v>
      </c>
      <c r="C111" s="1" t="n">
        <v>46078</v>
      </c>
      <c r="D111" t="inlineStr">
        <is>
          <t>VÄSTMANLANDS LÄN</t>
        </is>
      </c>
      <c r="E111" t="inlineStr">
        <is>
          <t>SURAHAMMAR</t>
        </is>
      </c>
      <c r="G111" t="n">
        <v>2.2</v>
      </c>
      <c r="H111" t="n">
        <v>0</v>
      </c>
      <c r="I111" t="n">
        <v>0</v>
      </c>
      <c r="J111" t="n">
        <v>0</v>
      </c>
      <c r="K111" t="n">
        <v>0</v>
      </c>
      <c r="L111" t="n">
        <v>0</v>
      </c>
      <c r="M111" t="n">
        <v>0</v>
      </c>
      <c r="N111" t="n">
        <v>0</v>
      </c>
      <c r="O111" t="n">
        <v>0</v>
      </c>
      <c r="P111" t="n">
        <v>0</v>
      </c>
      <c r="Q111" t="n">
        <v>0</v>
      </c>
      <c r="R111" s="2" t="inlineStr"/>
    </row>
    <row r="112" ht="15" customHeight="1">
      <c r="A112" t="inlineStr">
        <is>
          <t>A 24158-2023</t>
        </is>
      </c>
      <c r="B112" s="1" t="n">
        <v>45079</v>
      </c>
      <c r="C112" s="1" t="n">
        <v>46078</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34584-2025</t>
        </is>
      </c>
      <c r="B113" s="1" t="n">
        <v>45846</v>
      </c>
      <c r="C113" s="1" t="n">
        <v>46078</v>
      </c>
      <c r="D113" t="inlineStr">
        <is>
          <t>VÄSTMANLANDS LÄN</t>
        </is>
      </c>
      <c r="E113" t="inlineStr">
        <is>
          <t>SURAHAMMAR</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32916-2025</t>
        </is>
      </c>
      <c r="B114" s="1" t="n">
        <v>45839</v>
      </c>
      <c r="C114" s="1" t="n">
        <v>46078</v>
      </c>
      <c r="D114" t="inlineStr">
        <is>
          <t>VÄSTMANLANDS LÄN</t>
        </is>
      </c>
      <c r="E114" t="inlineStr">
        <is>
          <t>SURAHAMMAR</t>
        </is>
      </c>
      <c r="F114" t="inlineStr">
        <is>
          <t>Kommuner</t>
        </is>
      </c>
      <c r="G114" t="n">
        <v>4.9</v>
      </c>
      <c r="H114" t="n">
        <v>0</v>
      </c>
      <c r="I114" t="n">
        <v>0</v>
      </c>
      <c r="J114" t="n">
        <v>0</v>
      </c>
      <c r="K114" t="n">
        <v>0</v>
      </c>
      <c r="L114" t="n">
        <v>0</v>
      </c>
      <c r="M114" t="n">
        <v>0</v>
      </c>
      <c r="N114" t="n">
        <v>0</v>
      </c>
      <c r="O114" t="n">
        <v>0</v>
      </c>
      <c r="P114" t="n">
        <v>0</v>
      </c>
      <c r="Q114" t="n">
        <v>0</v>
      </c>
      <c r="R114" s="2" t="inlineStr"/>
    </row>
    <row r="115" ht="15" customHeight="1">
      <c r="A115" t="inlineStr">
        <is>
          <t>A 32910-2025</t>
        </is>
      </c>
      <c r="B115" s="1" t="n">
        <v>45839</v>
      </c>
      <c r="C115" s="1" t="n">
        <v>46078</v>
      </c>
      <c r="D115" t="inlineStr">
        <is>
          <t>VÄSTMANLANDS LÄN</t>
        </is>
      </c>
      <c r="E115" t="inlineStr">
        <is>
          <t>SURAHAMMAR</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42714-2022</t>
        </is>
      </c>
      <c r="B116" s="1" t="n">
        <v>44832</v>
      </c>
      <c r="C116" s="1" t="n">
        <v>46078</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35682-2022</t>
        </is>
      </c>
      <c r="B117" s="1" t="n">
        <v>44799.60422453703</v>
      </c>
      <c r="C117" s="1" t="n">
        <v>46078</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11728-2023</t>
        </is>
      </c>
      <c r="B118" s="1" t="n">
        <v>44993</v>
      </c>
      <c r="C118" s="1" t="n">
        <v>46078</v>
      </c>
      <c r="D118" t="inlineStr">
        <is>
          <t>VÄSTMANLANDS LÄN</t>
        </is>
      </c>
      <c r="E118" t="inlineStr">
        <is>
          <t>SURAHAMMAR</t>
        </is>
      </c>
      <c r="F118" t="inlineStr">
        <is>
          <t>Bergvik skog väst AB</t>
        </is>
      </c>
      <c r="G118" t="n">
        <v>0.4</v>
      </c>
      <c r="H118" t="n">
        <v>0</v>
      </c>
      <c r="I118" t="n">
        <v>0</v>
      </c>
      <c r="J118" t="n">
        <v>0</v>
      </c>
      <c r="K118" t="n">
        <v>0</v>
      </c>
      <c r="L118" t="n">
        <v>0</v>
      </c>
      <c r="M118" t="n">
        <v>0</v>
      </c>
      <c r="N118" t="n">
        <v>0</v>
      </c>
      <c r="O118" t="n">
        <v>0</v>
      </c>
      <c r="P118" t="n">
        <v>0</v>
      </c>
      <c r="Q118" t="n">
        <v>0</v>
      </c>
      <c r="R118" s="2" t="inlineStr"/>
    </row>
    <row r="119" ht="15" customHeight="1">
      <c r="A119" t="inlineStr">
        <is>
          <t>A 5567-2022</t>
        </is>
      </c>
      <c r="B119" s="1" t="n">
        <v>44595</v>
      </c>
      <c r="C119" s="1" t="n">
        <v>46078</v>
      </c>
      <c r="D119" t="inlineStr">
        <is>
          <t>VÄSTMANLANDS LÄN</t>
        </is>
      </c>
      <c r="E119" t="inlineStr">
        <is>
          <t>SURAHAMMAR</t>
        </is>
      </c>
      <c r="G119" t="n">
        <v>1.3</v>
      </c>
      <c r="H119" t="n">
        <v>0</v>
      </c>
      <c r="I119" t="n">
        <v>0</v>
      </c>
      <c r="J119" t="n">
        <v>0</v>
      </c>
      <c r="K119" t="n">
        <v>0</v>
      </c>
      <c r="L119" t="n">
        <v>0</v>
      </c>
      <c r="M119" t="n">
        <v>0</v>
      </c>
      <c r="N119" t="n">
        <v>0</v>
      </c>
      <c r="O119" t="n">
        <v>0</v>
      </c>
      <c r="P119" t="n">
        <v>0</v>
      </c>
      <c r="Q119" t="n">
        <v>0</v>
      </c>
      <c r="R119" s="2" t="inlineStr"/>
    </row>
    <row r="120" ht="15" customHeight="1">
      <c r="A120" t="inlineStr">
        <is>
          <t>A 42832-2022</t>
        </is>
      </c>
      <c r="B120" s="1" t="n">
        <v>44832</v>
      </c>
      <c r="C120" s="1" t="n">
        <v>46078</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46078</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46078</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32808-2024</t>
        </is>
      </c>
      <c r="B123" s="1" t="n">
        <v>45516</v>
      </c>
      <c r="C123" s="1" t="n">
        <v>46078</v>
      </c>
      <c r="D123" t="inlineStr">
        <is>
          <t>VÄSTMANLANDS LÄN</t>
        </is>
      </c>
      <c r="E123" t="inlineStr">
        <is>
          <t>SURAHAMMAR</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37954-2025</t>
        </is>
      </c>
      <c r="B124" s="1" t="n">
        <v>45881</v>
      </c>
      <c r="C124" s="1" t="n">
        <v>46078</v>
      </c>
      <c r="D124" t="inlineStr">
        <is>
          <t>VÄSTMANLANDS LÄN</t>
        </is>
      </c>
      <c r="E124" t="inlineStr">
        <is>
          <t>SURAHAMMAR</t>
        </is>
      </c>
      <c r="G124" t="n">
        <v>9.5</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46078</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46078</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46078</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46078</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46078</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55871-2025</t>
        </is>
      </c>
      <c r="B130" s="1" t="n">
        <v>45973.35452546296</v>
      </c>
      <c r="C130" s="1" t="n">
        <v>46078</v>
      </c>
      <c r="D130" t="inlineStr">
        <is>
          <t>VÄSTMANLANDS LÄN</t>
        </is>
      </c>
      <c r="E130" t="inlineStr">
        <is>
          <t>SURAHAMMAR</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2867-2024</t>
        </is>
      </c>
      <c r="B131" s="1" t="n">
        <v>45315</v>
      </c>
      <c r="C131" s="1" t="n">
        <v>46078</v>
      </c>
      <c r="D131" t="inlineStr">
        <is>
          <t>VÄSTMANLANDS LÄN</t>
        </is>
      </c>
      <c r="E131" t="inlineStr">
        <is>
          <t>SURAHAMMAR</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56543-2025</t>
        </is>
      </c>
      <c r="B132" s="1" t="n">
        <v>45975</v>
      </c>
      <c r="C132" s="1" t="n">
        <v>46078</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46078</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49058-2024</t>
        </is>
      </c>
      <c r="B134" s="1" t="n">
        <v>45594</v>
      </c>
      <c r="C134" s="1" t="n">
        <v>46078</v>
      </c>
      <c r="D134" t="inlineStr">
        <is>
          <t>VÄSTMANLANDS LÄN</t>
        </is>
      </c>
      <c r="E134" t="inlineStr">
        <is>
          <t>SURAHAMMAR</t>
        </is>
      </c>
      <c r="F134" t="inlineStr">
        <is>
          <t>Sveaskog</t>
        </is>
      </c>
      <c r="G134" t="n">
        <v>11.4</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46078</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46078</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59399-2025</t>
        </is>
      </c>
      <c r="B137" s="1" t="n">
        <v>45989</v>
      </c>
      <c r="C137" s="1" t="n">
        <v>46078</v>
      </c>
      <c r="D137" t="inlineStr">
        <is>
          <t>VÄSTMANLANDS LÄN</t>
        </is>
      </c>
      <c r="E137" t="inlineStr">
        <is>
          <t>SURAHAMMAR</t>
        </is>
      </c>
      <c r="F137" t="inlineStr">
        <is>
          <t>Kommuner</t>
        </is>
      </c>
      <c r="G137" t="n">
        <v>2.1</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46078</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20904-2023</t>
        </is>
      </c>
      <c r="B139" s="1" t="n">
        <v>45060</v>
      </c>
      <c r="C139" s="1" t="n">
        <v>46078</v>
      </c>
      <c r="D139" t="inlineStr">
        <is>
          <t>VÄSTMANLANDS LÄN</t>
        </is>
      </c>
      <c r="E139" t="inlineStr">
        <is>
          <t>SURAHAMMAR</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10883-2023</t>
        </is>
      </c>
      <c r="B140" s="1" t="n">
        <v>44991</v>
      </c>
      <c r="C140" s="1" t="n">
        <v>46078</v>
      </c>
      <c r="D140" t="inlineStr">
        <is>
          <t>VÄSTMANLANDS LÄN</t>
        </is>
      </c>
      <c r="E140" t="inlineStr">
        <is>
          <t>SURAHAMMAR</t>
        </is>
      </c>
      <c r="F140" t="inlineStr">
        <is>
          <t>Övriga Aktiebolag</t>
        </is>
      </c>
      <c r="G140" t="n">
        <v>12.5</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46078</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5697-2026</t>
        </is>
      </c>
      <c r="B142" s="1" t="n">
        <v>46051.50020833333</v>
      </c>
      <c r="C142" s="1" t="n">
        <v>46078</v>
      </c>
      <c r="D142" t="inlineStr">
        <is>
          <t>VÄSTMANLANDS LÄN</t>
        </is>
      </c>
      <c r="E142" t="inlineStr">
        <is>
          <t>SURAHAMMAR</t>
        </is>
      </c>
      <c r="F142" t="inlineStr">
        <is>
          <t>Sveaskog</t>
        </is>
      </c>
      <c r="G142" t="n">
        <v>3</v>
      </c>
      <c r="H142" t="n">
        <v>0</v>
      </c>
      <c r="I142" t="n">
        <v>0</v>
      </c>
      <c r="J142" t="n">
        <v>0</v>
      </c>
      <c r="K142" t="n">
        <v>0</v>
      </c>
      <c r="L142" t="n">
        <v>0</v>
      </c>
      <c r="M142" t="n">
        <v>0</v>
      </c>
      <c r="N142" t="n">
        <v>0</v>
      </c>
      <c r="O142" t="n">
        <v>0</v>
      </c>
      <c r="P142" t="n">
        <v>0</v>
      </c>
      <c r="Q142" t="n">
        <v>0</v>
      </c>
      <c r="R142" s="2" t="inlineStr"/>
    </row>
    <row r="143" ht="15" customHeight="1">
      <c r="A143" t="inlineStr">
        <is>
          <t>A 5698-2026</t>
        </is>
      </c>
      <c r="B143" s="1" t="n">
        <v>46051.50196759259</v>
      </c>
      <c r="C143" s="1" t="n">
        <v>46078</v>
      </c>
      <c r="D143" t="inlineStr">
        <is>
          <t>VÄSTMANLANDS LÄN</t>
        </is>
      </c>
      <c r="E143" t="inlineStr">
        <is>
          <t>SURAHAMMAR</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5696-2026</t>
        </is>
      </c>
      <c r="B144" s="1" t="n">
        <v>46051.4975</v>
      </c>
      <c r="C144" s="1" t="n">
        <v>46078</v>
      </c>
      <c r="D144" t="inlineStr">
        <is>
          <t>VÄSTMANLANDS LÄN</t>
        </is>
      </c>
      <c r="E144" t="inlineStr">
        <is>
          <t>SURAHAMMAR</t>
        </is>
      </c>
      <c r="F144" t="inlineStr">
        <is>
          <t>Sveaskog</t>
        </is>
      </c>
      <c r="G144" t="n">
        <v>10.4</v>
      </c>
      <c r="H144" t="n">
        <v>0</v>
      </c>
      <c r="I144" t="n">
        <v>0</v>
      </c>
      <c r="J144" t="n">
        <v>0</v>
      </c>
      <c r="K144" t="n">
        <v>0</v>
      </c>
      <c r="L144" t="n">
        <v>0</v>
      </c>
      <c r="M144" t="n">
        <v>0</v>
      </c>
      <c r="N144" t="n">
        <v>0</v>
      </c>
      <c r="O144" t="n">
        <v>0</v>
      </c>
      <c r="P144" t="n">
        <v>0</v>
      </c>
      <c r="Q144" t="n">
        <v>0</v>
      </c>
      <c r="R144" s="2" t="inlineStr"/>
    </row>
    <row r="145" ht="15" customHeight="1">
      <c r="A145" t="inlineStr">
        <is>
          <t>A 63138-2025</t>
        </is>
      </c>
      <c r="B145" s="1" t="n">
        <v>46009</v>
      </c>
      <c r="C145" s="1" t="n">
        <v>46078</v>
      </c>
      <c r="D145" t="inlineStr">
        <is>
          <t>VÄSTMANLANDS LÄN</t>
        </is>
      </c>
      <c r="E145" t="inlineStr">
        <is>
          <t>SURAHAMMAR</t>
        </is>
      </c>
      <c r="F145" t="inlineStr">
        <is>
          <t>Bergvik skog väst AB</t>
        </is>
      </c>
      <c r="G145" t="n">
        <v>2.5</v>
      </c>
      <c r="H145" t="n">
        <v>0</v>
      </c>
      <c r="I145" t="n">
        <v>0</v>
      </c>
      <c r="J145" t="n">
        <v>0</v>
      </c>
      <c r="K145" t="n">
        <v>0</v>
      </c>
      <c r="L145" t="n">
        <v>0</v>
      </c>
      <c r="M145" t="n">
        <v>0</v>
      </c>
      <c r="N145" t="n">
        <v>0</v>
      </c>
      <c r="O145" t="n">
        <v>0</v>
      </c>
      <c r="P145" t="n">
        <v>0</v>
      </c>
      <c r="Q145" t="n">
        <v>0</v>
      </c>
      <c r="R145" s="2" t="inlineStr"/>
    </row>
    <row r="146" ht="15" customHeight="1">
      <c r="A146" t="inlineStr">
        <is>
          <t>A 14626-2023</t>
        </is>
      </c>
      <c r="B146" s="1" t="n">
        <v>45012</v>
      </c>
      <c r="C146" s="1" t="n">
        <v>46078</v>
      </c>
      <c r="D146" t="inlineStr">
        <is>
          <t>VÄSTMANLANDS LÄN</t>
        </is>
      </c>
      <c r="E146" t="inlineStr">
        <is>
          <t>SURAHAMMAR</t>
        </is>
      </c>
      <c r="F146" t="inlineStr">
        <is>
          <t>Bergvik skog väst AB</t>
        </is>
      </c>
      <c r="G146" t="n">
        <v>5</v>
      </c>
      <c r="H146" t="n">
        <v>0</v>
      </c>
      <c r="I146" t="n">
        <v>0</v>
      </c>
      <c r="J146" t="n">
        <v>0</v>
      </c>
      <c r="K146" t="n">
        <v>0</v>
      </c>
      <c r="L146" t="n">
        <v>0</v>
      </c>
      <c r="M146" t="n">
        <v>0</v>
      </c>
      <c r="N146" t="n">
        <v>0</v>
      </c>
      <c r="O146" t="n">
        <v>0</v>
      </c>
      <c r="P146" t="n">
        <v>0</v>
      </c>
      <c r="Q146" t="n">
        <v>0</v>
      </c>
      <c r="R146" s="2" t="inlineStr"/>
    </row>
    <row r="147" ht="15" customHeight="1">
      <c r="A147" t="inlineStr">
        <is>
          <t>A 37798-2021</t>
        </is>
      </c>
      <c r="B147" s="1" t="n">
        <v>44402</v>
      </c>
      <c r="C147" s="1" t="n">
        <v>46078</v>
      </c>
      <c r="D147" t="inlineStr">
        <is>
          <t>VÄSTMANLANDS LÄN</t>
        </is>
      </c>
      <c r="E147" t="inlineStr">
        <is>
          <t>SURAHAMMAR</t>
        </is>
      </c>
      <c r="F147" t="inlineStr">
        <is>
          <t>Kommuner</t>
        </is>
      </c>
      <c r="G147" t="n">
        <v>1.2</v>
      </c>
      <c r="H147" t="n">
        <v>0</v>
      </c>
      <c r="I147" t="n">
        <v>0</v>
      </c>
      <c r="J147" t="n">
        <v>0</v>
      </c>
      <c r="K147" t="n">
        <v>0</v>
      </c>
      <c r="L147" t="n">
        <v>0</v>
      </c>
      <c r="M147" t="n">
        <v>0</v>
      </c>
      <c r="N147" t="n">
        <v>0</v>
      </c>
      <c r="O147" t="n">
        <v>0</v>
      </c>
      <c r="P147" t="n">
        <v>0</v>
      </c>
      <c r="Q147" t="n">
        <v>0</v>
      </c>
      <c r="R147" s="2" t="inlineStr"/>
    </row>
    <row r="148" ht="15" customHeight="1">
      <c r="A148" t="inlineStr">
        <is>
          <t>A 25450-2024</t>
        </is>
      </c>
      <c r="B148" s="1" t="n">
        <v>45463</v>
      </c>
      <c r="C148" s="1" t="n">
        <v>46078</v>
      </c>
      <c r="D148" t="inlineStr">
        <is>
          <t>VÄSTMANLANDS LÄN</t>
        </is>
      </c>
      <c r="E148" t="inlineStr">
        <is>
          <t>SURAHAMMAR</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4734-2026</t>
        </is>
      </c>
      <c r="B149" s="1" t="n">
        <v>46048</v>
      </c>
      <c r="C149" s="1" t="n">
        <v>46078</v>
      </c>
      <c r="D149" t="inlineStr">
        <is>
          <t>VÄSTMANLANDS LÄN</t>
        </is>
      </c>
      <c r="E149" t="inlineStr">
        <is>
          <t>SURAHAMMAR</t>
        </is>
      </c>
      <c r="G149" t="n">
        <v>0.7</v>
      </c>
      <c r="H149" t="n">
        <v>0</v>
      </c>
      <c r="I149" t="n">
        <v>0</v>
      </c>
      <c r="J149" t="n">
        <v>0</v>
      </c>
      <c r="K149" t="n">
        <v>0</v>
      </c>
      <c r="L149" t="n">
        <v>0</v>
      </c>
      <c r="M149" t="n">
        <v>0</v>
      </c>
      <c r="N149" t="n">
        <v>0</v>
      </c>
      <c r="O149" t="n">
        <v>0</v>
      </c>
      <c r="P149" t="n">
        <v>0</v>
      </c>
      <c r="Q149" t="n">
        <v>0</v>
      </c>
      <c r="R149" s="2" t="inlineStr"/>
    </row>
    <row r="150" ht="15" customHeight="1">
      <c r="A150" t="inlineStr">
        <is>
          <t>A 4724-2026</t>
        </is>
      </c>
      <c r="B150" s="1" t="n">
        <v>46048</v>
      </c>
      <c r="C150" s="1" t="n">
        <v>46078</v>
      </c>
      <c r="D150" t="inlineStr">
        <is>
          <t>VÄSTMANLANDS LÄN</t>
        </is>
      </c>
      <c r="E150" t="inlineStr">
        <is>
          <t>SURAHAMMAR</t>
        </is>
      </c>
      <c r="G150" t="n">
        <v>1.7</v>
      </c>
      <c r="H150" t="n">
        <v>0</v>
      </c>
      <c r="I150" t="n">
        <v>0</v>
      </c>
      <c r="J150" t="n">
        <v>0</v>
      </c>
      <c r="K150" t="n">
        <v>0</v>
      </c>
      <c r="L150" t="n">
        <v>0</v>
      </c>
      <c r="M150" t="n">
        <v>0</v>
      </c>
      <c r="N150" t="n">
        <v>0</v>
      </c>
      <c r="O150" t="n">
        <v>0</v>
      </c>
      <c r="P150" t="n">
        <v>0</v>
      </c>
      <c r="Q150" t="n">
        <v>0</v>
      </c>
      <c r="R150" s="2" t="inlineStr"/>
    </row>
    <row r="151" ht="15" customHeight="1">
      <c r="A151" t="inlineStr">
        <is>
          <t>A 19782-2023</t>
        </is>
      </c>
      <c r="B151" s="1" t="n">
        <v>45050</v>
      </c>
      <c r="C151" s="1" t="n">
        <v>46078</v>
      </c>
      <c r="D151" t="inlineStr">
        <is>
          <t>VÄSTMANLANDS LÄN</t>
        </is>
      </c>
      <c r="E151" t="inlineStr">
        <is>
          <t>SURAHAMMAR</t>
        </is>
      </c>
      <c r="F151" t="inlineStr">
        <is>
          <t>Bergvik skog väst AB</t>
        </is>
      </c>
      <c r="G151" t="n">
        <v>5.2</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46078</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10244-2026</t>
        </is>
      </c>
      <c r="B153" s="1" t="n">
        <v>46076.55032407407</v>
      </c>
      <c r="C153" s="1" t="n">
        <v>46078</v>
      </c>
      <c r="D153" t="inlineStr">
        <is>
          <t>VÄSTMANLANDS LÄN</t>
        </is>
      </c>
      <c r="E153" t="inlineStr">
        <is>
          <t>SURAHAMMAR</t>
        </is>
      </c>
      <c r="F153" t="inlineStr">
        <is>
          <t>Allmännings- och besparingsskogar</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10249-2026</t>
        </is>
      </c>
      <c r="B154" s="1" t="n">
        <v>46076.55456018518</v>
      </c>
      <c r="C154" s="1" t="n">
        <v>46078</v>
      </c>
      <c r="D154" t="inlineStr">
        <is>
          <t>VÄSTMANLANDS LÄN</t>
        </is>
      </c>
      <c r="E154" t="inlineStr">
        <is>
          <t>SURAHAMMAR</t>
        </is>
      </c>
      <c r="F154" t="inlineStr">
        <is>
          <t>Allmännings- och besparingsskogar</t>
        </is>
      </c>
      <c r="G154" t="n">
        <v>4.8</v>
      </c>
      <c r="H154" t="n">
        <v>0</v>
      </c>
      <c r="I154" t="n">
        <v>0</v>
      </c>
      <c r="J154" t="n">
        <v>0</v>
      </c>
      <c r="K154" t="n">
        <v>0</v>
      </c>
      <c r="L154" t="n">
        <v>0</v>
      </c>
      <c r="M154" t="n">
        <v>0</v>
      </c>
      <c r="N154" t="n">
        <v>0</v>
      </c>
      <c r="O154" t="n">
        <v>0</v>
      </c>
      <c r="P154" t="n">
        <v>0</v>
      </c>
      <c r="Q154" t="n">
        <v>0</v>
      </c>
      <c r="R154" s="2" t="inlineStr"/>
    </row>
    <row r="155" ht="15" customHeight="1">
      <c r="A155" t="inlineStr">
        <is>
          <t>A 10562-2026</t>
        </is>
      </c>
      <c r="B155" s="1" t="n">
        <v>46077.64043981482</v>
      </c>
      <c r="C155" s="1" t="n">
        <v>46078</v>
      </c>
      <c r="D155" t="inlineStr">
        <is>
          <t>VÄSTMANLANDS LÄN</t>
        </is>
      </c>
      <c r="E155" t="inlineStr">
        <is>
          <t>SURAHAMMAR</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24167-2024</t>
        </is>
      </c>
      <c r="B156" s="1" t="n">
        <v>45456</v>
      </c>
      <c r="C156" s="1" t="n">
        <v>46078</v>
      </c>
      <c r="D156" t="inlineStr">
        <is>
          <t>VÄSTMANLANDS LÄN</t>
        </is>
      </c>
      <c r="E156" t="inlineStr">
        <is>
          <t>SURAHAMMAR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10512-2026</t>
        </is>
      </c>
      <c r="B157" s="1" t="n">
        <v>46077.56861111111</v>
      </c>
      <c r="C157" s="1" t="n">
        <v>46078</v>
      </c>
      <c r="D157" t="inlineStr">
        <is>
          <t>VÄSTMANLANDS LÄN</t>
        </is>
      </c>
      <c r="E157" t="inlineStr">
        <is>
          <t>SURAHAMMAR</t>
        </is>
      </c>
      <c r="F157" t="inlineStr">
        <is>
          <t>Övriga Aktiebolag</t>
        </is>
      </c>
      <c r="G157" t="n">
        <v>4.3</v>
      </c>
      <c r="H157" t="n">
        <v>0</v>
      </c>
      <c r="I157" t="n">
        <v>0</v>
      </c>
      <c r="J157" t="n">
        <v>0</v>
      </c>
      <c r="K157" t="n">
        <v>0</v>
      </c>
      <c r="L157" t="n">
        <v>0</v>
      </c>
      <c r="M157" t="n">
        <v>0</v>
      </c>
      <c r="N157" t="n">
        <v>0</v>
      </c>
      <c r="O157" t="n">
        <v>0</v>
      </c>
      <c r="P157" t="n">
        <v>0</v>
      </c>
      <c r="Q157" t="n">
        <v>0</v>
      </c>
      <c r="R157" s="2" t="inlineStr"/>
    </row>
    <row r="158" ht="15" customHeight="1">
      <c r="A158" t="inlineStr">
        <is>
          <t>A 56378-2023</t>
        </is>
      </c>
      <c r="B158" s="1" t="n">
        <v>45236</v>
      </c>
      <c r="C158" s="1" t="n">
        <v>46078</v>
      </c>
      <c r="D158" t="inlineStr">
        <is>
          <t>VÄSTMANLANDS LÄN</t>
        </is>
      </c>
      <c r="E158" t="inlineStr">
        <is>
          <t>SURAHAMMAR</t>
        </is>
      </c>
      <c r="F158" t="inlineStr">
        <is>
          <t>Bergvik skog väst AB</t>
        </is>
      </c>
      <c r="G158" t="n">
        <v>4.6</v>
      </c>
      <c r="H158" t="n">
        <v>0</v>
      </c>
      <c r="I158" t="n">
        <v>0</v>
      </c>
      <c r="J158" t="n">
        <v>0</v>
      </c>
      <c r="K158" t="n">
        <v>0</v>
      </c>
      <c r="L158" t="n">
        <v>0</v>
      </c>
      <c r="M158" t="n">
        <v>0</v>
      </c>
      <c r="N158" t="n">
        <v>0</v>
      </c>
      <c r="O158" t="n">
        <v>0</v>
      </c>
      <c r="P158" t="n">
        <v>0</v>
      </c>
      <c r="Q158" t="n">
        <v>0</v>
      </c>
      <c r="R158" s="2" t="inlineStr"/>
    </row>
    <row r="159" ht="15" customHeight="1">
      <c r="A159" t="inlineStr">
        <is>
          <t>A 19099-2022</t>
        </is>
      </c>
      <c r="B159" s="1" t="n">
        <v>44691</v>
      </c>
      <c r="C159" s="1" t="n">
        <v>46078</v>
      </c>
      <c r="D159" t="inlineStr">
        <is>
          <t>VÄSTMANLANDS LÄN</t>
        </is>
      </c>
      <c r="E159" t="inlineStr">
        <is>
          <t>SURAHAMMAR</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10347-2026</t>
        </is>
      </c>
      <c r="B160" s="1" t="n">
        <v>46076.69101851852</v>
      </c>
      <c r="C160" s="1" t="n">
        <v>46078</v>
      </c>
      <c r="D160" t="inlineStr">
        <is>
          <t>VÄSTMANLANDS LÄN</t>
        </is>
      </c>
      <c r="E160" t="inlineStr">
        <is>
          <t>SURAHAMMAR</t>
        </is>
      </c>
      <c r="F160" t="inlineStr">
        <is>
          <t>Allmännings- och besparingsskogar</t>
        </is>
      </c>
      <c r="G160" t="n">
        <v>3</v>
      </c>
      <c r="H160" t="n">
        <v>0</v>
      </c>
      <c r="I160" t="n">
        <v>0</v>
      </c>
      <c r="J160" t="n">
        <v>0</v>
      </c>
      <c r="K160" t="n">
        <v>0</v>
      </c>
      <c r="L160" t="n">
        <v>0</v>
      </c>
      <c r="M160" t="n">
        <v>0</v>
      </c>
      <c r="N160" t="n">
        <v>0</v>
      </c>
      <c r="O160" t="n">
        <v>0</v>
      </c>
      <c r="P160" t="n">
        <v>0</v>
      </c>
      <c r="Q160" t="n">
        <v>0</v>
      </c>
      <c r="R160" s="2" t="inlineStr"/>
    </row>
    <row r="161" ht="15" customHeight="1">
      <c r="A161" t="inlineStr">
        <is>
          <t>A 11501-2023</t>
        </is>
      </c>
      <c r="B161" s="1" t="n">
        <v>44991</v>
      </c>
      <c r="C161" s="1" t="n">
        <v>46078</v>
      </c>
      <c r="D161" t="inlineStr">
        <is>
          <t>VÄSTMANLANDS LÄN</t>
        </is>
      </c>
      <c r="E161" t="inlineStr">
        <is>
          <t>SURAHAMMAR</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46078</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21509-2024</t>
        </is>
      </c>
      <c r="B163" s="1" t="n">
        <v>45441</v>
      </c>
      <c r="C163" s="1" t="n">
        <v>46078</v>
      </c>
      <c r="D163" t="inlineStr">
        <is>
          <t>VÄSTMANLANDS LÄN</t>
        </is>
      </c>
      <c r="E163" t="inlineStr">
        <is>
          <t>SURAHAMMAR</t>
        </is>
      </c>
      <c r="F163" t="inlineStr">
        <is>
          <t>Bergvik skog väst AB</t>
        </is>
      </c>
      <c r="G163" t="n">
        <v>3.9</v>
      </c>
      <c r="H163" t="n">
        <v>0</v>
      </c>
      <c r="I163" t="n">
        <v>0</v>
      </c>
      <c r="J163" t="n">
        <v>0</v>
      </c>
      <c r="K163" t="n">
        <v>0</v>
      </c>
      <c r="L163" t="n">
        <v>0</v>
      </c>
      <c r="M163" t="n">
        <v>0</v>
      </c>
      <c r="N163" t="n">
        <v>0</v>
      </c>
      <c r="O163" t="n">
        <v>0</v>
      </c>
      <c r="P163" t="n">
        <v>0</v>
      </c>
      <c r="Q163" t="n">
        <v>0</v>
      </c>
      <c r="R163" s="2" t="inlineStr"/>
    </row>
    <row r="164" ht="15" customHeight="1">
      <c r="A164" t="inlineStr">
        <is>
          <t>A 22662-2023</t>
        </is>
      </c>
      <c r="B164" s="1" t="n">
        <v>45071</v>
      </c>
      <c r="C164" s="1" t="n">
        <v>46078</v>
      </c>
      <c r="D164" t="inlineStr">
        <is>
          <t>VÄSTMANLANDS LÄN</t>
        </is>
      </c>
      <c r="E164" t="inlineStr">
        <is>
          <t>SURAHAMMAR</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16013-2023</t>
        </is>
      </c>
      <c r="B165" s="1" t="n">
        <v>45026</v>
      </c>
      <c r="C165" s="1" t="n">
        <v>46078</v>
      </c>
      <c r="D165" t="inlineStr">
        <is>
          <t>VÄSTMANLANDS LÄN</t>
        </is>
      </c>
      <c r="E165" t="inlineStr">
        <is>
          <t>SURAHAMMAR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41555-2022</t>
        </is>
      </c>
      <c r="B166" s="1" t="n">
        <v>44826</v>
      </c>
      <c r="C166" s="1" t="n">
        <v>46078</v>
      </c>
      <c r="D166" t="inlineStr">
        <is>
          <t>VÄSTMANLANDS LÄN</t>
        </is>
      </c>
      <c r="E166" t="inlineStr">
        <is>
          <t>SURAHAMMAR</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25780-2023</t>
        </is>
      </c>
      <c r="B167" s="1" t="n">
        <v>45090.47523148148</v>
      </c>
      <c r="C167" s="1" t="n">
        <v>46078</v>
      </c>
      <c r="D167" t="inlineStr">
        <is>
          <t>VÄSTMANLANDS LÄN</t>
        </is>
      </c>
      <c r="E167" t="inlineStr">
        <is>
          <t>SURAHAMMAR</t>
        </is>
      </c>
      <c r="G167" t="n">
        <v>2.8</v>
      </c>
      <c r="H167" t="n">
        <v>0</v>
      </c>
      <c r="I167" t="n">
        <v>0</v>
      </c>
      <c r="J167" t="n">
        <v>0</v>
      </c>
      <c r="K167" t="n">
        <v>0</v>
      </c>
      <c r="L167" t="n">
        <v>0</v>
      </c>
      <c r="M167" t="n">
        <v>0</v>
      </c>
      <c r="N167" t="n">
        <v>0</v>
      </c>
      <c r="O167" t="n">
        <v>0</v>
      </c>
      <c r="P167" t="n">
        <v>0</v>
      </c>
      <c r="Q167" t="n">
        <v>0</v>
      </c>
      <c r="R167" s="2" t="inlineStr"/>
    </row>
    <row r="168">
      <c r="A168" t="inlineStr">
        <is>
          <t>A 13386-2025</t>
        </is>
      </c>
      <c r="B168" s="1" t="n">
        <v>45735</v>
      </c>
      <c r="C168" s="1" t="n">
        <v>46078</v>
      </c>
      <c r="D168" t="inlineStr">
        <is>
          <t>VÄSTMANLANDS LÄN</t>
        </is>
      </c>
      <c r="E168" t="inlineStr">
        <is>
          <t>SURAHAMMAR</t>
        </is>
      </c>
      <c r="F168" t="inlineStr">
        <is>
          <t>Bergvik skog väst AB</t>
        </is>
      </c>
      <c r="G168" t="n">
        <v>4</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2026-02-25T11:16:29Z</dcterms:created>
  <dcterms:modified xmlns:dcterms="http://purl.org/dc/terms/" xmlns:xsi="http://www.w3.org/2001/XMLSchema-instance" xsi:type="dcterms:W3CDTF">2026-02-25T11:16:30Z</dcterms:modified>
</cp:coreProperties>
</file>