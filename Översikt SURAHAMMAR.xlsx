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46303</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46303</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46303</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46303</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46303</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46303</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46303</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46303</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46303</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46303</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46303</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46303</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34040-2024</t>
        </is>
      </c>
      <c r="B19" t="inlineStr">
        <is>
          <t>avverkningsanmälan</t>
        </is>
      </c>
      <c r="C19" t="inlineStr">
        <is>
          <t>Föryngringsavverkning</t>
        </is>
      </c>
      <c r="D19" s="1" t="n">
        <v>45523</v>
      </c>
      <c r="E19" s="1" t="n">
        <v>46303</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39594-2025</t>
        </is>
      </c>
      <c r="B20" t="inlineStr">
        <is>
          <t>avverkningsanmälan</t>
        </is>
      </c>
      <c r="C20" t="inlineStr">
        <is>
          <t>Föryngringsavverkning</t>
        </is>
      </c>
      <c r="D20" s="1" t="n">
        <v>45890</v>
      </c>
      <c r="E20" s="1" t="n">
        <v>46303</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42853-2022</t>
        </is>
      </c>
      <c r="B21" t="inlineStr">
        <is>
          <t>avverkningsanmälan</t>
        </is>
      </c>
      <c r="C21" t="inlineStr">
        <is>
          <t>Avverkning för att bevara och utveckla /försöksver</t>
        </is>
      </c>
      <c r="D21" s="1" t="n">
        <v>44832</v>
      </c>
      <c r="E21" s="1" t="n">
        <v>46303</v>
      </c>
      <c r="F21" t="inlineStr">
        <is>
          <t>VÄSTMANLANDS LÄN</t>
        </is>
      </c>
      <c r="G21" t="inlineStr">
        <is>
          <t>SURAHAMMAR</t>
        </is>
      </c>
      <c r="I21" t="n">
        <v>7.4</v>
      </c>
      <c r="J21" t="n">
        <v>3</v>
      </c>
      <c r="K21" t="n">
        <v>7</v>
      </c>
      <c r="L21" t="n">
        <v>2</v>
      </c>
      <c r="M21" t="n">
        <v>0</v>
      </c>
      <c r="N21" t="n">
        <v>1</v>
      </c>
      <c r="O21" t="n">
        <v>0</v>
      </c>
      <c r="P21" t="n">
        <v>0</v>
      </c>
      <c r="Q21" t="n">
        <v>3</v>
      </c>
      <c r="R21" t="n">
        <v>1</v>
      </c>
      <c r="S21" t="n">
        <v>11</v>
      </c>
      <c r="T21" t="n">
        <v>15</v>
      </c>
      <c r="U21" t="n">
        <v>2</v>
      </c>
      <c r="V21" s="2" t="inlineStr">
        <is>
          <t>Ask
Kandelabersvamp
Mindre hackspett
Blodvaxing
Gulvaxing
Luktvaxing
Tvåblad
Vitvaxing agg.
Ängsfingersvamp
Ängsvaxing agg.
Skogsduva</t>
        </is>
      </c>
      <c r="W21">
        <f>HYPERLINK("https://klasma.github.io/Logging_1907/artfynd/A 42853-2022 artfynd.xlsx", "A 42853-2022")</f>
        <v/>
      </c>
      <c r="X21">
        <f>HYPERLINK("https://klasma.github.io/Logging_1907/kartor/A 42853-2022 karta.png", "A 42853-2022")</f>
        <v/>
      </c>
      <c r="Y21">
        <f>HYPERLINK("https://klasma.github.io/Logging_1907/kartor_geotiff/A 42853-2022 georefererad karta.tif", "A 42853-2022")</f>
        <v/>
      </c>
      <c r="AA21">
        <f>HYPERLINK("https://klasma.github.io/Logging_1907/klagomål/A 42853-2022 FSC-klagomål.docx", "A 42853-2022")</f>
        <v/>
      </c>
      <c r="AB21">
        <f>HYPERLINK("https://klasma.github.io/Logging_1907/klagomålsmail/A 42853-2022 FSC-klagomål mail.docx", "A 42853-2022")</f>
        <v/>
      </c>
      <c r="AC21">
        <f>HYPERLINK("https://klasma.github.io/Logging_1907/tillsyn/A 42853-2022 tillsynsbegäran.docx", "A 42853-2022")</f>
        <v/>
      </c>
      <c r="AD21">
        <f>HYPERLINK("https://klasma.github.io/Logging_1907/tillsynsmail/A 42853-2022 tillsynsbegäran mail.docx", "A 42853-2022")</f>
        <v/>
      </c>
      <c r="AE21">
        <f>HYPERLINK("https://klasma.github.io/Logging_1907/fåglar/A 42853-2022 prioriterade fågelarter.docx", "A 42853-2022")</f>
        <v/>
      </c>
    </row>
    <row r="22" ht="15" customHeight="1">
      <c r="A22" t="inlineStr">
        <is>
          <t>A 22907-2023</t>
        </is>
      </c>
      <c r="B22" t="inlineStr">
        <is>
          <t>avverkningsanmälan</t>
        </is>
      </c>
      <c r="C22" t="inlineStr">
        <is>
          <t>Föryngringsavverkning</t>
        </is>
      </c>
      <c r="D22" s="1" t="n">
        <v>45070</v>
      </c>
      <c r="E22" s="1" t="n">
        <v>46303</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46303</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46303</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46303</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38172-2024</t>
        </is>
      </c>
      <c r="B26" t="inlineStr">
        <is>
          <t>avverkningsanmälan</t>
        </is>
      </c>
      <c r="C26" t="inlineStr">
        <is>
          <t>Avverkning för att bevara och utveckla /försöksver</t>
        </is>
      </c>
      <c r="D26" s="1" t="n">
        <v>45545</v>
      </c>
      <c r="E26" s="1" t="n">
        <v>46303</v>
      </c>
      <c r="F26" t="inlineStr">
        <is>
          <t>VÄSTMANLANDS LÄN</t>
        </is>
      </c>
      <c r="G26" t="inlineStr">
        <is>
          <t>SURAHAMMAR</t>
        </is>
      </c>
      <c r="H26" t="inlineStr">
        <is>
          <t>Sveaskog</t>
        </is>
      </c>
      <c r="I26" t="n">
        <v>5.2</v>
      </c>
      <c r="J26" t="n">
        <v>6</v>
      </c>
      <c r="K26" t="n">
        <v>0</v>
      </c>
      <c r="L26" t="n">
        <v>3</v>
      </c>
      <c r="M26" t="n">
        <v>1</v>
      </c>
      <c r="N26" t="n">
        <v>0</v>
      </c>
      <c r="O26" t="n">
        <v>0</v>
      </c>
      <c r="P26" t="n">
        <v>0</v>
      </c>
      <c r="Q26" t="n">
        <v>4</v>
      </c>
      <c r="R26" t="n">
        <v>1</v>
      </c>
      <c r="S26" t="n">
        <v>8</v>
      </c>
      <c r="T26" t="n">
        <v>10</v>
      </c>
      <c r="U26" t="n">
        <v>4</v>
      </c>
      <c r="V26" s="2" t="inlineStr">
        <is>
          <t>Knärot
Gropticka
Sädesärla
Vedtrappmossa
Stjärtmes
Vanlig snok
Lopplummer (aggregat)
Revlummer</t>
        </is>
      </c>
      <c r="W26">
        <f>HYPERLINK("https://klasma.github.io/Logging_1907/artfynd/A 38172-2024 artfynd.xlsx", "A 38172-2024")</f>
        <v/>
      </c>
      <c r="X26">
        <f>HYPERLINK("https://klasma.github.io/Logging_1907/kartor/A 38172-2024 karta.png", "A 38172-2024")</f>
        <v/>
      </c>
      <c r="Y26">
        <f>HYPERLINK("https://klasma.github.io/Logging_1907/kartor_geotiff/A 38172-2024 georefererad karta.tif", "A 38172-2024")</f>
        <v/>
      </c>
      <c r="Z26">
        <f>HYPERLINK("https://klasma.github.io/Logging_1907/knärot/A 38172-2024 karta knärot.png", "A 38172-2024")</f>
        <v/>
      </c>
      <c r="AA26">
        <f>HYPERLINK("https://klasma.github.io/Logging_1907/klagomål/A 38172-2024 FSC-klagomål.docx", "A 38172-2024")</f>
        <v/>
      </c>
      <c r="AB26">
        <f>HYPERLINK("https://klasma.github.io/Logging_1907/klagomålsmail/A 38172-2024 FSC-klagomål mail.docx", "A 38172-2024")</f>
        <v/>
      </c>
      <c r="AC26">
        <f>HYPERLINK("https://klasma.github.io/Logging_1907/tillsyn/A 38172-2024 tillsynsbegäran.docx", "A 38172-2024")</f>
        <v/>
      </c>
      <c r="AD26">
        <f>HYPERLINK("https://klasma.github.io/Logging_1907/tillsynsmail/A 38172-2024 tillsynsbegäran mail.docx", "A 38172-2024")</f>
        <v/>
      </c>
      <c r="AE26">
        <f>HYPERLINK("https://klasma.github.io/Logging_1907/fåglar/A 38172-2024 prioriterade fågelarter.docx", "A 38172-2024")</f>
        <v/>
      </c>
    </row>
    <row r="27" ht="15" customHeight="1">
      <c r="A27" t="inlineStr">
        <is>
          <t>A 20391-2024</t>
        </is>
      </c>
      <c r="B27" t="inlineStr">
        <is>
          <t>avverkningsanmälan</t>
        </is>
      </c>
      <c r="C27" t="inlineStr">
        <is>
          <t>Föryngringsavverkning</t>
        </is>
      </c>
      <c r="D27" s="1" t="n">
        <v>45435</v>
      </c>
      <c r="E27" s="1" t="n">
        <v>46303</v>
      </c>
      <c r="F27" t="inlineStr">
        <is>
          <t>VÄSTMANLANDS LÄN</t>
        </is>
      </c>
      <c r="G27" t="inlineStr">
        <is>
          <t>SURAHAMMAR</t>
        </is>
      </c>
      <c r="I27" t="n">
        <v>1.5</v>
      </c>
      <c r="J27" t="n">
        <v>4</v>
      </c>
      <c r="K27" t="n">
        <v>1</v>
      </c>
      <c r="L27" t="n">
        <v>5</v>
      </c>
      <c r="M27" t="n">
        <v>0</v>
      </c>
      <c r="N27" t="n">
        <v>0</v>
      </c>
      <c r="O27" t="n">
        <v>0</v>
      </c>
      <c r="P27" t="n">
        <v>0</v>
      </c>
      <c r="Q27" t="n">
        <v>5</v>
      </c>
      <c r="R27" t="n">
        <v>0</v>
      </c>
      <c r="S27" t="n">
        <v>8</v>
      </c>
      <c r="T27" t="n">
        <v>9</v>
      </c>
      <c r="U27" t="n">
        <v>0</v>
      </c>
      <c r="V27" s="2" t="inlineStr">
        <is>
          <t>Duvhök
Kattfotslav
Talltita
Vedtrappmossa
Vitfläckig guldvinge
Stubbspretmossa
Grönsiska
Grönvit nattviol</t>
        </is>
      </c>
      <c r="W27">
        <f>HYPERLINK("https://klasma.github.io/Logging_1907/artfynd/A 20391-2024 artfynd.xlsx", "A 20391-2024")</f>
        <v/>
      </c>
      <c r="X27">
        <f>HYPERLINK("https://klasma.github.io/Logging_1907/kartor/A 20391-2024 karta.png", "A 20391-2024")</f>
        <v/>
      </c>
      <c r="Y27">
        <f>HYPERLINK("https://klasma.github.io/Logging_1907/kartor_geotiff/A 20391-2024 georefererad karta.tif", "A 20391-2024")</f>
        <v/>
      </c>
      <c r="AA27">
        <f>HYPERLINK("https://klasma.github.io/Logging_1907/klagomål/A 20391-2024 FSC-klagomål.docx", "A 20391-2024")</f>
        <v/>
      </c>
      <c r="AB27">
        <f>HYPERLINK("https://klasma.github.io/Logging_1907/klagomålsmail/A 20391-2024 FSC-klagomål mail.docx", "A 20391-2024")</f>
        <v/>
      </c>
      <c r="AC27">
        <f>HYPERLINK("https://klasma.github.io/Logging_1907/tillsyn/A 20391-2024 tillsynsbegäran.docx", "A 20391-2024")</f>
        <v/>
      </c>
      <c r="AD27">
        <f>HYPERLINK("https://klasma.github.io/Logging_1907/tillsynsmail/A 20391-2024 tillsynsbegäran mail.docx", "A 20391-2024")</f>
        <v/>
      </c>
      <c r="AE27">
        <f>HYPERLINK("https://klasma.github.io/Logging_1907/fåglar/A 20391-2024 prioriterade fågelarter.docx", "A 20391-2024")</f>
        <v/>
      </c>
    </row>
    <row r="28" ht="15" customHeight="1">
      <c r="A28" t="inlineStr">
        <is>
          <t>A 66349-2021</t>
        </is>
      </c>
      <c r="B28" t="inlineStr">
        <is>
          <t>avverkningsanmälan</t>
        </is>
      </c>
      <c r="C28" t="inlineStr">
        <is>
          <t>Föryngringsavverkning</t>
        </is>
      </c>
      <c r="D28" s="1" t="n">
        <v>44518</v>
      </c>
      <c r="E28" s="1" t="n">
        <v>46303</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56299-2021</t>
        </is>
      </c>
      <c r="B29" t="inlineStr">
        <is>
          <t>avverkningsanmälan</t>
        </is>
      </c>
      <c r="C29" t="inlineStr">
        <is>
          <t>Föryngringsavverkning</t>
        </is>
      </c>
      <c r="D29" s="1" t="n">
        <v>44477</v>
      </c>
      <c r="E29" s="1" t="n">
        <v>46303</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48891-2023</t>
        </is>
      </c>
      <c r="B30" t="inlineStr">
        <is>
          <t>avverkningsanmälan</t>
        </is>
      </c>
      <c r="C30" t="inlineStr">
        <is>
          <t>Föryngringsavverkning</t>
        </is>
      </c>
      <c r="D30" s="1" t="n">
        <v>45203</v>
      </c>
      <c r="E30" s="1" t="n">
        <v>46303</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22840-2023</t>
        </is>
      </c>
      <c r="B31" t="inlineStr">
        <is>
          <t>avverkningsanmälan</t>
        </is>
      </c>
      <c r="C31" t="inlineStr">
        <is>
          <t>Föryngringsavverkning</t>
        </is>
      </c>
      <c r="D31" s="1" t="n">
        <v>45072</v>
      </c>
      <c r="E31" s="1" t="n">
        <v>46303</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36260-2026</t>
        </is>
      </c>
      <c r="B32" t="inlineStr">
        <is>
          <t>avverkningsanmälan</t>
        </is>
      </c>
      <c r="C32" t="inlineStr">
        <is>
          <t>Föryngringsavverkning</t>
        </is>
      </c>
      <c r="D32" s="1" t="n">
        <v>46268</v>
      </c>
      <c r="E32" s="1" t="n">
        <v>46303</v>
      </c>
      <c r="F32" t="inlineStr">
        <is>
          <t>VÄSTMANLANDS LÄN</t>
        </is>
      </c>
      <c r="G32" t="inlineStr">
        <is>
          <t>SURAHAMMAR</t>
        </is>
      </c>
      <c r="H32" t="inlineStr">
        <is>
          <t>Sveaskog</t>
        </is>
      </c>
      <c r="I32" t="n">
        <v>5.7</v>
      </c>
      <c r="J32" t="n">
        <v>4</v>
      </c>
      <c r="K32" t="n">
        <v>1</v>
      </c>
      <c r="L32" t="n">
        <v>1</v>
      </c>
      <c r="M32" t="n">
        <v>2</v>
      </c>
      <c r="N32" t="n">
        <v>0</v>
      </c>
      <c r="O32" t="n">
        <v>0</v>
      </c>
      <c r="P32" t="n">
        <v>0</v>
      </c>
      <c r="Q32" t="n">
        <v>3</v>
      </c>
      <c r="R32" t="n">
        <v>2</v>
      </c>
      <c r="S32" t="n">
        <v>7</v>
      </c>
      <c r="T32" t="n">
        <v>8</v>
      </c>
      <c r="U32" t="n">
        <v>0</v>
      </c>
      <c r="V32" s="2" t="inlineStr">
        <is>
          <t>Mindre bastardsvärmare
Silverblåvinge
Enkelbeckasin
Blodticka
Nattskärra
Vanlig snok
Revlummer</t>
        </is>
      </c>
      <c r="W32">
        <f>HYPERLINK("https://klasma.github.io/Logging_1907/artfynd/A 36260-2026 artfynd.xlsx", "A 36260-2026")</f>
        <v/>
      </c>
      <c r="X32">
        <f>HYPERLINK("https://klasma.github.io/Logging_1907/kartor/A 36260-2026 karta.png", "A 36260-2026")</f>
        <v/>
      </c>
      <c r="Y32">
        <f>HYPERLINK("https://klasma.github.io/Logging_1907/kartor_geotiff/A 36260-2026 georefererad karta.tif", "A 36260-2026")</f>
        <v/>
      </c>
      <c r="AA32">
        <f>HYPERLINK("https://klasma.github.io/Logging_1907/klagomål/A 36260-2026 FSC-klagomål.docx", "A 36260-2026")</f>
        <v/>
      </c>
      <c r="AB32">
        <f>HYPERLINK("https://klasma.github.io/Logging_1907/klagomålsmail/A 36260-2026 FSC-klagomål mail.docx", "A 36260-2026")</f>
        <v/>
      </c>
      <c r="AC32">
        <f>HYPERLINK("https://klasma.github.io/Logging_1907/tillsyn/A 36260-2026 tillsynsbegäran.docx", "A 36260-2026")</f>
        <v/>
      </c>
      <c r="AD32">
        <f>HYPERLINK("https://klasma.github.io/Logging_1907/tillsynsmail/A 36260-2026 tillsynsbegäran mail.docx", "A 36260-2026")</f>
        <v/>
      </c>
      <c r="AE32">
        <f>HYPERLINK("https://klasma.github.io/Logging_1907/fåglar/A 36260-2026 prioriterade fågelarter.docx", "A 36260-2026")</f>
        <v/>
      </c>
    </row>
    <row r="33" ht="15" customHeight="1">
      <c r="A33" t="inlineStr">
        <is>
          <t>S 2882-2025</t>
        </is>
      </c>
      <c r="B33" t="inlineStr">
        <is>
          <t>samrådsanmälan</t>
        </is>
      </c>
      <c r="C33" t="inlineStr">
        <is>
          <t>Annan skogsbruksåtgärd</t>
        </is>
      </c>
      <c r="D33" s="1" t="n">
        <v>45945</v>
      </c>
      <c r="E33" s="1" t="n">
        <v>46303</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46303</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46303</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46303</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46303</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46303</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25548-2024</t>
        </is>
      </c>
      <c r="B39" t="inlineStr">
        <is>
          <t>avverkningsanmälan</t>
        </is>
      </c>
      <c r="C39" t="inlineStr">
        <is>
          <t>Föryngringsavverkning</t>
        </is>
      </c>
      <c r="D39" s="1" t="n">
        <v>45463</v>
      </c>
      <c r="E39" s="1" t="n">
        <v>46303</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31176-2024</t>
        </is>
      </c>
      <c r="B40" t="inlineStr">
        <is>
          <t>avverkningsanmälan</t>
        </is>
      </c>
      <c r="C40" t="inlineStr">
        <is>
          <t>Föryngringsavverkning</t>
        </is>
      </c>
      <c r="D40" s="1" t="n">
        <v>45503</v>
      </c>
      <c r="E40" s="1" t="n">
        <v>46303</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10819-2024</t>
        </is>
      </c>
      <c r="B41" t="inlineStr">
        <is>
          <t>avverkningsanmälan</t>
        </is>
      </c>
      <c r="C41" t="inlineStr">
        <is>
          <t>Föryngringsavverkning</t>
        </is>
      </c>
      <c r="D41" s="1" t="n">
        <v>45369</v>
      </c>
      <c r="E41" s="1" t="n">
        <v>46303</v>
      </c>
      <c r="F41" t="inlineStr">
        <is>
          <t>VÄSTMANLANDS LÄN</t>
        </is>
      </c>
      <c r="G41" t="inlineStr">
        <is>
          <t>SURAHAMMAR</t>
        </is>
      </c>
      <c r="I41" t="n">
        <v>2</v>
      </c>
      <c r="J41" t="n">
        <v>2</v>
      </c>
      <c r="K41" t="n">
        <v>1</v>
      </c>
      <c r="L41" t="n">
        <v>1</v>
      </c>
      <c r="M41" t="n">
        <v>1</v>
      </c>
      <c r="N41" t="n">
        <v>0</v>
      </c>
      <c r="O41" t="n">
        <v>0</v>
      </c>
      <c r="P41" t="n">
        <v>0</v>
      </c>
      <c r="Q41" t="n">
        <v>2</v>
      </c>
      <c r="R41" t="n">
        <v>1</v>
      </c>
      <c r="S41" t="n">
        <v>4</v>
      </c>
      <c r="T41" t="n">
        <v>8</v>
      </c>
      <c r="U41" t="n">
        <v>2</v>
      </c>
      <c r="V41" s="2" t="inlineStr">
        <is>
          <t>Igelkott
Entita
Tibast
Näktergal</t>
        </is>
      </c>
      <c r="W41">
        <f>HYPERLINK("https://klasma.github.io/Logging_1907/artfynd/A 10819-2024 artfynd.xlsx", "A 10819-2024")</f>
        <v/>
      </c>
      <c r="X41">
        <f>HYPERLINK("https://klasma.github.io/Logging_1907/kartor/A 10819-2024 karta.png", "A 10819-2024")</f>
        <v/>
      </c>
      <c r="Y41">
        <f>HYPERLINK("https://klasma.github.io/Logging_1907/kartor_geotiff/A 10819-2024 georefererad karta.tif", "A 10819-2024")</f>
        <v/>
      </c>
      <c r="AA41">
        <f>HYPERLINK("https://klasma.github.io/Logging_1907/klagomål/A 10819-2024 FSC-klagomål.docx", "A 10819-2024")</f>
        <v/>
      </c>
      <c r="AB41">
        <f>HYPERLINK("https://klasma.github.io/Logging_1907/klagomålsmail/A 10819-2024 FSC-klagomål mail.docx", "A 10819-2024")</f>
        <v/>
      </c>
      <c r="AC41">
        <f>HYPERLINK("https://klasma.github.io/Logging_1907/tillsyn/A 10819-2024 tillsynsbegäran.docx", "A 10819-2024")</f>
        <v/>
      </c>
      <c r="AD41">
        <f>HYPERLINK("https://klasma.github.io/Logging_1907/tillsynsmail/A 10819-2024 tillsynsbegäran mail.docx", "A 10819-2024")</f>
        <v/>
      </c>
      <c r="AE41">
        <f>HYPERLINK("https://klasma.github.io/Logging_1907/fåglar/A 10819-2024 prioriterade fågelarter.docx", "A 10819-2024")</f>
        <v/>
      </c>
    </row>
    <row r="42" ht="15" customHeight="1">
      <c r="A42" t="inlineStr">
        <is>
          <t>A 66350-2021</t>
        </is>
      </c>
      <c r="B42" t="inlineStr">
        <is>
          <t>avverkningsanmälan</t>
        </is>
      </c>
      <c r="C42" t="inlineStr">
        <is>
          <t>Föryngringsavverkning</t>
        </is>
      </c>
      <c r="D42" s="1" t="n">
        <v>44518</v>
      </c>
      <c r="E42" s="1" t="n">
        <v>46303</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46303</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46303</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42765-2022</t>
        </is>
      </c>
      <c r="B45" t="inlineStr">
        <is>
          <t>avverkningsanmälan</t>
        </is>
      </c>
      <c r="C45" t="inlineStr">
        <is>
          <t>Avverkning för annat ändamål</t>
        </is>
      </c>
      <c r="D45" s="1" t="n">
        <v>44832</v>
      </c>
      <c r="E45" s="1" t="n">
        <v>46303</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49718-2023</t>
        </is>
      </c>
      <c r="B46" t="inlineStr">
        <is>
          <t>avverkningsanmälan</t>
        </is>
      </c>
      <c r="C46" t="inlineStr">
        <is>
          <t>Föryngringsavverkning</t>
        </is>
      </c>
      <c r="D46" s="1" t="n">
        <v>45212</v>
      </c>
      <c r="E46" s="1" t="n">
        <v>46303</v>
      </c>
      <c r="F46" t="inlineStr">
        <is>
          <t>VÄSTMANLANDS LÄN</t>
        </is>
      </c>
      <c r="G46" t="inlineStr">
        <is>
          <t>SURAHAMMAR</t>
        </is>
      </c>
      <c r="I46" t="n">
        <v>3.4</v>
      </c>
      <c r="J46" t="n">
        <v>1</v>
      </c>
      <c r="K46" t="n">
        <v>1</v>
      </c>
      <c r="L46" t="n">
        <v>2</v>
      </c>
      <c r="M46" t="n">
        <v>0</v>
      </c>
      <c r="N46" t="n">
        <v>0</v>
      </c>
      <c r="O46" t="n">
        <v>0</v>
      </c>
      <c r="P46" t="n">
        <v>0</v>
      </c>
      <c r="Q46" t="n">
        <v>2</v>
      </c>
      <c r="R46" t="n">
        <v>0</v>
      </c>
      <c r="S46" t="n">
        <v>3</v>
      </c>
      <c r="T46" t="n">
        <v>6</v>
      </c>
      <c r="U46" t="n">
        <v>6</v>
      </c>
      <c r="V46" s="2" t="inlineStr">
        <is>
          <t>Motaggsvamp
Talltita
Zontaggsvamp</t>
        </is>
      </c>
      <c r="W46">
        <f>HYPERLINK("https://klasma.github.io/Logging_1907/artfynd/A 49718-2023 artfynd.xlsx", "A 49718-2023")</f>
        <v/>
      </c>
      <c r="X46">
        <f>HYPERLINK("https://klasma.github.io/Logging_1907/kartor/A 49718-2023 karta.png", "A 49718-2023")</f>
        <v/>
      </c>
      <c r="Y46">
        <f>HYPERLINK("https://klasma.github.io/Logging_1907/kartor_geotiff/A 49718-2023 georefererad karta.tif", "A 49718-2023")</f>
        <v/>
      </c>
      <c r="AA46">
        <f>HYPERLINK("https://klasma.github.io/Logging_1907/klagomål/A 49718-2023 FSC-klagomål.docx", "A 49718-2023")</f>
        <v/>
      </c>
      <c r="AB46">
        <f>HYPERLINK("https://klasma.github.io/Logging_1907/klagomålsmail/A 49718-2023 FSC-klagomål mail.docx", "A 49718-2023")</f>
        <v/>
      </c>
      <c r="AC46">
        <f>HYPERLINK("https://klasma.github.io/Logging_1907/tillsyn/A 49718-2023 tillsynsbegäran.docx", "A 49718-2023")</f>
        <v/>
      </c>
      <c r="AD46">
        <f>HYPERLINK("https://klasma.github.io/Logging_1907/tillsynsmail/A 49718-2023 tillsynsbegäran mail.docx", "A 49718-2023")</f>
        <v/>
      </c>
      <c r="AE46">
        <f>HYPERLINK("https://klasma.github.io/Logging_1907/fåglar/A 49718-2023 prioriterade fågelarter.docx", "A 49718-2023")</f>
        <v/>
      </c>
    </row>
    <row r="47" ht="15" customHeight="1">
      <c r="A47" t="inlineStr">
        <is>
          <t>A 4082-2025</t>
        </is>
      </c>
      <c r="B47" t="inlineStr">
        <is>
          <t>avverkningsanmälan</t>
        </is>
      </c>
      <c r="C47" t="inlineStr">
        <is>
          <t>Föryngringsavverkning</t>
        </is>
      </c>
      <c r="D47" s="1" t="n">
        <v>45684</v>
      </c>
      <c r="E47" s="1" t="n">
        <v>46303</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46303</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46303</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36264-2026</t>
        </is>
      </c>
      <c r="B50" t="inlineStr">
        <is>
          <t>avverkningsanmälan</t>
        </is>
      </c>
      <c r="C50" t="inlineStr">
        <is>
          <t>Föryngringsavverkning</t>
        </is>
      </c>
      <c r="D50" s="1" t="n">
        <v>46268</v>
      </c>
      <c r="E50" s="1" t="n">
        <v>46303</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46303</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46303</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46303</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46303</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46303</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46303</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30074-2023</t>
        </is>
      </c>
      <c r="B57" t="inlineStr">
        <is>
          <t>avverkningsanmälan</t>
        </is>
      </c>
      <c r="C57" t="inlineStr">
        <is>
          <t>Föryngringsavverkning</t>
        </is>
      </c>
      <c r="D57" s="1" t="n">
        <v>45110</v>
      </c>
      <c r="E57" s="1" t="n">
        <v>46303</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40403-2025</t>
        </is>
      </c>
      <c r="B58" t="inlineStr">
        <is>
          <t>avverkningsanmälan</t>
        </is>
      </c>
      <c r="C58" t="inlineStr">
        <is>
          <t>Föryngringsavverkning</t>
        </is>
      </c>
      <c r="D58" s="1" t="n">
        <v>45895</v>
      </c>
      <c r="E58" s="1" t="n">
        <v>46303</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13788-2025</t>
        </is>
      </c>
      <c r="B59" t="inlineStr">
        <is>
          <t>avverkningsanmälan</t>
        </is>
      </c>
      <c r="C59" t="inlineStr">
        <is>
          <t>Föryngringsavverkning</t>
        </is>
      </c>
      <c r="D59" s="1" t="n">
        <v>45737</v>
      </c>
      <c r="E59" s="1" t="n">
        <v>46303</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14001-2023</t>
        </is>
      </c>
      <c r="B60" t="inlineStr">
        <is>
          <t>avverkningsanmälan</t>
        </is>
      </c>
      <c r="C60" t="inlineStr">
        <is>
          <t>Föryngringsavverkning</t>
        </is>
      </c>
      <c r="D60" s="1" t="n">
        <v>45007</v>
      </c>
      <c r="E60" s="1" t="n">
        <v>46303</v>
      </c>
      <c r="F60" t="inlineStr">
        <is>
          <t>VÄSTMANLANDS LÄN</t>
        </is>
      </c>
      <c r="G60" t="inlineStr">
        <is>
          <t>SURAHAMMAR</t>
        </is>
      </c>
      <c r="H60" t="inlineStr">
        <is>
          <t>Bergvik skog väst AB</t>
        </is>
      </c>
      <c r="I60" t="n">
        <v>1</v>
      </c>
      <c r="J60" t="n">
        <v>0</v>
      </c>
      <c r="K60" t="n">
        <v>0</v>
      </c>
      <c r="L60" t="n">
        <v>1</v>
      </c>
      <c r="M60" t="n">
        <v>1</v>
      </c>
      <c r="N60" t="n">
        <v>0</v>
      </c>
      <c r="O60" t="n">
        <v>0</v>
      </c>
      <c r="P60" t="n">
        <v>0</v>
      </c>
      <c r="Q60" t="n">
        <v>2</v>
      </c>
      <c r="R60" t="n">
        <v>1</v>
      </c>
      <c r="S60" t="n">
        <v>2</v>
      </c>
      <c r="T60" t="n">
        <v>2</v>
      </c>
      <c r="U60" t="n">
        <v>0</v>
      </c>
      <c r="V60" s="2" t="inlineStr">
        <is>
          <t>Garnlav
Motaggsvamp</t>
        </is>
      </c>
      <c r="W60">
        <f>HYPERLINK("https://klasma.github.io/Logging_1907/artfynd/A 14001-2023 artfynd.xlsx", "A 14001-2023")</f>
        <v/>
      </c>
      <c r="X60">
        <f>HYPERLINK("https://klasma.github.io/Logging_1907/kartor/A 14001-2023 karta.png", "A 14001-2023")</f>
        <v/>
      </c>
      <c r="Y60">
        <f>HYPERLINK("https://klasma.github.io/Logging_1907/kartor_geotiff/A 14001-2023 georefererad karta.tif", "A 14001-2023")</f>
        <v/>
      </c>
      <c r="AA60">
        <f>HYPERLINK("https://klasma.github.io/Logging_1907/klagomål/A 14001-2023 FSC-klagomål.docx", "A 14001-2023")</f>
        <v/>
      </c>
      <c r="AB60">
        <f>HYPERLINK("https://klasma.github.io/Logging_1907/klagomålsmail/A 14001-2023 FSC-klagomål mail.docx", "A 14001-2023")</f>
        <v/>
      </c>
      <c r="AC60">
        <f>HYPERLINK("https://klasma.github.io/Logging_1907/tillsyn/A 14001-2023 tillsynsbegäran.docx", "A 14001-2023")</f>
        <v/>
      </c>
      <c r="AD60">
        <f>HYPERLINK("https://klasma.github.io/Logging_1907/tillsynsmail/A 14001-2023 tillsynsbegäran mail.docx", "A 14001-2023")</f>
        <v/>
      </c>
    </row>
    <row r="61" ht="15" customHeight="1">
      <c r="A61" t="inlineStr">
        <is>
          <t>A 13971-2023</t>
        </is>
      </c>
      <c r="B61" t="inlineStr">
        <is>
          <t>avverkningsanmälan</t>
        </is>
      </c>
      <c r="C61" t="inlineStr">
        <is>
          <t>Föryngringsavverkning</t>
        </is>
      </c>
      <c r="D61" s="1" t="n">
        <v>45007</v>
      </c>
      <c r="E61" s="1" t="n">
        <v>46303</v>
      </c>
      <c r="F61" t="inlineStr">
        <is>
          <t>VÄSTMANLANDS LÄN</t>
        </is>
      </c>
      <c r="G61" t="inlineStr">
        <is>
          <t>SURAHAMMAR</t>
        </is>
      </c>
      <c r="H61" t="inlineStr">
        <is>
          <t>Bergvik skog väst AB</t>
        </is>
      </c>
      <c r="I61" t="n">
        <v>2.9</v>
      </c>
      <c r="J61" t="n">
        <v>2</v>
      </c>
      <c r="K61" t="n">
        <v>0</v>
      </c>
      <c r="L61" t="n">
        <v>0</v>
      </c>
      <c r="M61" t="n">
        <v>0</v>
      </c>
      <c r="N61" t="n">
        <v>0</v>
      </c>
      <c r="O61" t="n">
        <v>0</v>
      </c>
      <c r="P61" t="n">
        <v>0</v>
      </c>
      <c r="Q61" t="n">
        <v>0</v>
      </c>
      <c r="R61" t="n">
        <v>0</v>
      </c>
      <c r="S61" t="n">
        <v>2</v>
      </c>
      <c r="T61" t="n">
        <v>3</v>
      </c>
      <c r="U61" t="n">
        <v>0</v>
      </c>
      <c r="V61" s="2" t="inlineStr">
        <is>
          <t>Dubbelnycklar
Fläcknycklar</t>
        </is>
      </c>
      <c r="W61">
        <f>HYPERLINK("https://klasma.github.io/Logging_1907/artfynd/A 13971-2023 artfynd.xlsx", "A 13971-2023")</f>
        <v/>
      </c>
      <c r="X61">
        <f>HYPERLINK("https://klasma.github.io/Logging_1907/kartor/A 13971-2023 karta.png", "A 13971-2023")</f>
        <v/>
      </c>
      <c r="Y61">
        <f>HYPERLINK("https://klasma.github.io/Logging_1907/kartor_geotiff/A 13971-2023 georefererad karta.tif", "A 13971-2023")</f>
        <v/>
      </c>
      <c r="AA61">
        <f>HYPERLINK("https://klasma.github.io/Logging_1907/klagomål/A 13971-2023 FSC-klagomål.docx", "A 13971-2023")</f>
        <v/>
      </c>
      <c r="AB61">
        <f>HYPERLINK("https://klasma.github.io/Logging_1907/klagomålsmail/A 13971-2023 FSC-klagomål mail.docx", "A 13971-2023")</f>
        <v/>
      </c>
      <c r="AC61">
        <f>HYPERLINK("https://klasma.github.io/Logging_1907/tillsyn/A 13971-2023 tillsynsbegäran.docx", "A 13971-2023")</f>
        <v/>
      </c>
      <c r="AD61">
        <f>HYPERLINK("https://klasma.github.io/Logging_1907/tillsynsmail/A 13971-2023 tillsynsbegäran mail.docx", "A 13971-2023")</f>
        <v/>
      </c>
    </row>
    <row r="62" ht="15" customHeight="1">
      <c r="A62" t="inlineStr">
        <is>
          <t>A 47453-2024</t>
        </is>
      </c>
      <c r="B62" t="inlineStr">
        <is>
          <t>avverkningsanmälan</t>
        </is>
      </c>
      <c r="C62" t="inlineStr">
        <is>
          <t>Föryngringsavverkning</t>
        </is>
      </c>
      <c r="D62" s="1" t="n">
        <v>45587</v>
      </c>
      <c r="E62" s="1" t="n">
        <v>46303</v>
      </c>
      <c r="F62" t="inlineStr">
        <is>
          <t>VÄSTMANLANDS LÄN</t>
        </is>
      </c>
      <c r="G62" t="inlineStr">
        <is>
          <t>SURAHAMMAR</t>
        </is>
      </c>
      <c r="I62" t="n">
        <v>5.1</v>
      </c>
      <c r="J62" t="n">
        <v>2</v>
      </c>
      <c r="K62" t="n">
        <v>0</v>
      </c>
      <c r="L62" t="n">
        <v>1</v>
      </c>
      <c r="M62" t="n">
        <v>0</v>
      </c>
      <c r="N62" t="n">
        <v>0</v>
      </c>
      <c r="O62" t="n">
        <v>0</v>
      </c>
      <c r="P62" t="n">
        <v>0</v>
      </c>
      <c r="Q62" t="n">
        <v>1</v>
      </c>
      <c r="R62" t="n">
        <v>0</v>
      </c>
      <c r="S62" t="n">
        <v>2</v>
      </c>
      <c r="T62" t="n">
        <v>2</v>
      </c>
      <c r="U62" t="n">
        <v>1</v>
      </c>
      <c r="V62" s="2" t="inlineStr">
        <is>
          <t>Göktyta
Gröngöling</t>
        </is>
      </c>
      <c r="W62">
        <f>HYPERLINK("https://klasma.github.io/Logging_1907/artfynd/A 47453-2024 artfynd.xlsx", "A 47453-2024")</f>
        <v/>
      </c>
      <c r="X62">
        <f>HYPERLINK("https://klasma.github.io/Logging_1907/kartor/A 47453-2024 karta.png", "A 47453-2024")</f>
        <v/>
      </c>
      <c r="Y62">
        <f>HYPERLINK("https://klasma.github.io/Logging_1907/kartor_geotiff/A 47453-2024 georefererad karta.tif", "A 47453-2024")</f>
        <v/>
      </c>
      <c r="AA62">
        <f>HYPERLINK("https://klasma.github.io/Logging_1907/klagomål/A 47453-2024 FSC-klagomål.docx", "A 47453-2024")</f>
        <v/>
      </c>
      <c r="AB62">
        <f>HYPERLINK("https://klasma.github.io/Logging_1907/klagomålsmail/A 47453-2024 FSC-klagomål mail.docx", "A 47453-2024")</f>
        <v/>
      </c>
      <c r="AC62">
        <f>HYPERLINK("https://klasma.github.io/Logging_1907/tillsyn/A 47453-2024 tillsynsbegäran.docx", "A 47453-2024")</f>
        <v/>
      </c>
      <c r="AD62">
        <f>HYPERLINK("https://klasma.github.io/Logging_1907/tillsynsmail/A 47453-2024 tillsynsbegäran mail.docx", "A 47453-2024")</f>
        <v/>
      </c>
      <c r="AE62">
        <f>HYPERLINK("https://klasma.github.io/Logging_1907/fåglar/A 47453-2024 prioriterade fågelarter.docx", "A 47453-2024")</f>
        <v/>
      </c>
    </row>
    <row r="63" ht="15" customHeight="1">
      <c r="A63" t="inlineStr">
        <is>
          <t>A 37013-2025</t>
        </is>
      </c>
      <c r="B63" t="inlineStr">
        <is>
          <t>avverkningsanmälan</t>
        </is>
      </c>
      <c r="C63" t="inlineStr">
        <is>
          <t>Föryngringsavverkning</t>
        </is>
      </c>
      <c r="D63" s="1" t="n">
        <v>45874</v>
      </c>
      <c r="E63" s="1" t="n">
        <v>46303</v>
      </c>
      <c r="F63" t="inlineStr">
        <is>
          <t>VÄSTMANLANDS LÄN</t>
        </is>
      </c>
      <c r="G63" t="inlineStr">
        <is>
          <t>SURAHAMMAR</t>
        </is>
      </c>
      <c r="H63" t="inlineStr">
        <is>
          <t>Bergvik skog väst AB</t>
        </is>
      </c>
      <c r="I63" t="n">
        <v>10.7</v>
      </c>
      <c r="J63" t="n">
        <v>0</v>
      </c>
      <c r="K63" t="n">
        <v>0</v>
      </c>
      <c r="L63" t="n">
        <v>0</v>
      </c>
      <c r="M63" t="n">
        <v>2</v>
      </c>
      <c r="N63" t="n">
        <v>0</v>
      </c>
      <c r="O63" t="n">
        <v>0</v>
      </c>
      <c r="P63" t="n">
        <v>0</v>
      </c>
      <c r="Q63" t="n">
        <v>2</v>
      </c>
      <c r="R63" t="n">
        <v>2</v>
      </c>
      <c r="S63" t="n">
        <v>2</v>
      </c>
      <c r="T63" t="n">
        <v>2</v>
      </c>
      <c r="U63" t="n">
        <v>0</v>
      </c>
      <c r="V63" s="2" t="inlineStr">
        <is>
          <t>Brunfläckig pärlemorfjäril
Fältgentiana</t>
        </is>
      </c>
      <c r="W63">
        <f>HYPERLINK("https://klasma.github.io/Logging_1907/artfynd/A 37013-2025 artfynd.xlsx", "A 37013-2025")</f>
        <v/>
      </c>
      <c r="X63">
        <f>HYPERLINK("https://klasma.github.io/Logging_1907/kartor/A 37013-2025 karta.png", "A 37013-2025")</f>
        <v/>
      </c>
      <c r="Y63">
        <f>HYPERLINK("https://klasma.github.io/Logging_1907/kartor_geotiff/A 37013-2025 georefererad karta.tif", "A 37013-2025")</f>
        <v/>
      </c>
      <c r="AA63">
        <f>HYPERLINK("https://klasma.github.io/Logging_1907/klagomål/A 37013-2025 FSC-klagomål.docx", "A 37013-2025")</f>
        <v/>
      </c>
      <c r="AB63">
        <f>HYPERLINK("https://klasma.github.io/Logging_1907/klagomålsmail/A 37013-2025 FSC-klagomål mail.docx", "A 37013-2025")</f>
        <v/>
      </c>
      <c r="AC63">
        <f>HYPERLINK("https://klasma.github.io/Logging_1907/tillsyn/A 37013-2025 tillsynsbegäran.docx", "A 37013-2025")</f>
        <v/>
      </c>
      <c r="AD63">
        <f>HYPERLINK("https://klasma.github.io/Logging_1907/tillsynsmail/A 37013-2025 tillsynsbegäran mail.docx", "A 37013-2025")</f>
        <v/>
      </c>
    </row>
    <row r="64" ht="15" customHeight="1">
      <c r="A64" t="inlineStr">
        <is>
          <t>A 11501-2023</t>
        </is>
      </c>
      <c r="B64" t="inlineStr">
        <is>
          <t>avverkningsanmälan</t>
        </is>
      </c>
      <c r="C64" t="inlineStr">
        <is>
          <t>Föryngringsavverkning</t>
        </is>
      </c>
      <c r="D64" s="1" t="n">
        <v>44991</v>
      </c>
      <c r="E64" s="1" t="n">
        <v>46303</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63138-2025</t>
        </is>
      </c>
      <c r="B65" t="inlineStr">
        <is>
          <t>avverkningsanmälan</t>
        </is>
      </c>
      <c r="C65" t="inlineStr">
        <is>
          <t>Föryngringsavverkning</t>
        </is>
      </c>
      <c r="D65" s="1" t="n">
        <v>46009</v>
      </c>
      <c r="E65" s="1" t="n">
        <v>46303</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t="n">
        <v>2</v>
      </c>
      <c r="V65" s="2" t="inlineStr">
        <is>
          <t>Mindre märgborre
Tjäder</t>
        </is>
      </c>
      <c r="W65">
        <f>HYPERLINK("https://klasma.github.io/Logging_1907/artfynd/A 63138-2025 artfynd.xlsx", "A 63138-2025")</f>
        <v/>
      </c>
      <c r="X65">
        <f>HYPERLINK("https://klasma.github.io/Logging_1907/kartor/A 63138-2025 karta.png", "A 63138-2025")</f>
        <v/>
      </c>
      <c r="Y65">
        <f>HYPERLINK("https://klasma.github.io/Logging_1907/kartor_geotiff/A 63138-2025 georefererad karta.tif", "A 63138-2025")</f>
        <v/>
      </c>
      <c r="AA65">
        <f>HYPERLINK("https://klasma.github.io/Logging_1907/klagomål/A 63138-2025 FSC-klagomål.docx", "A 63138-2025")</f>
        <v/>
      </c>
      <c r="AB65">
        <f>HYPERLINK("https://klasma.github.io/Logging_1907/klagomålsmail/A 63138-2025 FSC-klagomål mail.docx", "A 63138-2025")</f>
        <v/>
      </c>
      <c r="AC65">
        <f>HYPERLINK("https://klasma.github.io/Logging_1907/tillsyn/A 63138-2025 tillsynsbegäran.docx", "A 63138-2025")</f>
        <v/>
      </c>
      <c r="AD65">
        <f>HYPERLINK("https://klasma.github.io/Logging_1907/tillsynsmail/A 63138-2025 tillsynsbegäran mail.docx", "A 63138-2025")</f>
        <v/>
      </c>
      <c r="AE65">
        <f>HYPERLINK("https://klasma.github.io/Logging_1907/fåglar/A 63138-2025 prioriterade fågelarter.docx", "A 63138-2025")</f>
        <v/>
      </c>
    </row>
    <row r="66" ht="15" customHeight="1">
      <c r="A66" t="inlineStr">
        <is>
          <t>A 41204-2023</t>
        </is>
      </c>
      <c r="B66" t="inlineStr">
        <is>
          <t>avverkningsanmälan</t>
        </is>
      </c>
      <c r="C66" t="inlineStr">
        <is>
          <t>Föryngringsavverkning</t>
        </is>
      </c>
      <c r="D66" s="1" t="n">
        <v>45174</v>
      </c>
      <c r="E66" s="1" t="n">
        <v>46303</v>
      </c>
      <c r="F66" t="inlineStr">
        <is>
          <t>VÄSTMANLANDS LÄN</t>
        </is>
      </c>
      <c r="G66" t="inlineStr">
        <is>
          <t>SURAHAMMAR</t>
        </is>
      </c>
      <c r="I66" t="n">
        <v>1</v>
      </c>
      <c r="J66" t="n">
        <v>1</v>
      </c>
      <c r="K66" t="n">
        <v>0</v>
      </c>
      <c r="L66" t="n">
        <v>1</v>
      </c>
      <c r="M66" t="n">
        <v>1</v>
      </c>
      <c r="N66" t="n">
        <v>0</v>
      </c>
      <c r="O66" t="n">
        <v>0</v>
      </c>
      <c r="P66" t="n">
        <v>0</v>
      </c>
      <c r="Q66" t="n">
        <v>2</v>
      </c>
      <c r="R66" t="n">
        <v>1</v>
      </c>
      <c r="S66" t="n">
        <v>2</v>
      </c>
      <c r="T66" t="n">
        <v>5</v>
      </c>
      <c r="U66" t="n">
        <v>0</v>
      </c>
      <c r="V66" s="2" t="inlineStr">
        <is>
          <t>Knärot
Vedtrappmossa</t>
        </is>
      </c>
      <c r="W66">
        <f>HYPERLINK("https://klasma.github.io/Logging_1907/artfynd/A 41204-2023 artfynd.xlsx", "A 41204-2023")</f>
        <v/>
      </c>
      <c r="X66">
        <f>HYPERLINK("https://klasma.github.io/Logging_1907/kartor/A 41204-2023 karta.png", "A 41204-2023")</f>
        <v/>
      </c>
      <c r="Y66">
        <f>HYPERLINK("https://klasma.github.io/Logging_1907/kartor_geotiff/A 41204-2023 georefererad karta.tif", "A 41204-2023")</f>
        <v/>
      </c>
      <c r="Z66">
        <f>HYPERLINK("https://klasma.github.io/Logging_1907/knärot/A 41204-2023 karta knärot.png", "A 41204-2023")</f>
        <v/>
      </c>
      <c r="AA66">
        <f>HYPERLINK("https://klasma.github.io/Logging_1907/klagomål/A 41204-2023 FSC-klagomål.docx", "A 41204-2023")</f>
        <v/>
      </c>
      <c r="AB66">
        <f>HYPERLINK("https://klasma.github.io/Logging_1907/klagomålsmail/A 41204-2023 FSC-klagomål mail.docx", "A 41204-2023")</f>
        <v/>
      </c>
      <c r="AC66">
        <f>HYPERLINK("https://klasma.github.io/Logging_1907/tillsyn/A 41204-2023 tillsynsbegäran.docx", "A 41204-2023")</f>
        <v/>
      </c>
      <c r="AD66">
        <f>HYPERLINK("https://klasma.github.io/Logging_1907/tillsynsmail/A 41204-2023 tillsynsbegäran mail.docx", "A 41204-2023")</f>
        <v/>
      </c>
    </row>
    <row r="67" ht="15" customHeight="1">
      <c r="A67" t="inlineStr">
        <is>
          <t>A 36261-2026</t>
        </is>
      </c>
      <c r="B67" t="inlineStr">
        <is>
          <t>avverkningsanmälan</t>
        </is>
      </c>
      <c r="C67" t="inlineStr">
        <is>
          <t>Föryngringsavverkning</t>
        </is>
      </c>
      <c r="D67" s="1" t="n">
        <v>46268</v>
      </c>
      <c r="E67" s="1" t="n">
        <v>46303</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A 41395-2026</t>
        </is>
      </c>
      <c r="B68" t="inlineStr">
        <is>
          <t>avverkningsanmälan</t>
        </is>
      </c>
      <c r="C68" t="inlineStr">
        <is>
          <t>Föryngringsavverkning</t>
        </is>
      </c>
      <c r="D68" s="1" t="n">
        <v>46301</v>
      </c>
      <c r="E68" s="1" t="n">
        <v>46303</v>
      </c>
      <c r="F68" t="inlineStr">
        <is>
          <t>VÄSTMANLANDS LÄN</t>
        </is>
      </c>
      <c r="G68" t="inlineStr">
        <is>
          <t>SURAHAMMAR</t>
        </is>
      </c>
      <c r="I68" t="n">
        <v>1.8</v>
      </c>
      <c r="J68" t="n">
        <v>1</v>
      </c>
      <c r="K68" t="n">
        <v>1</v>
      </c>
      <c r="L68" t="n">
        <v>0</v>
      </c>
      <c r="M68" t="n">
        <v>1</v>
      </c>
      <c r="N68" t="n">
        <v>0</v>
      </c>
      <c r="O68" t="n">
        <v>0</v>
      </c>
      <c r="P68" t="n">
        <v>0</v>
      </c>
      <c r="Q68" t="n">
        <v>1</v>
      </c>
      <c r="R68" t="n">
        <v>1</v>
      </c>
      <c r="S68" t="n">
        <v>2</v>
      </c>
      <c r="T68" t="n">
        <v>3</v>
      </c>
      <c r="U68" t="n">
        <v>0</v>
      </c>
      <c r="V68" s="2" t="inlineStr">
        <is>
          <t>Knärot
Grönpyrola</t>
        </is>
      </c>
      <c r="W68">
        <f>HYPERLINK("https://klasma.github.io/Logging_1907/artfynd/A 41395-2026 artfynd.xlsx", "A 41395-2026")</f>
        <v/>
      </c>
      <c r="X68">
        <f>HYPERLINK("https://klasma.github.io/Logging_1907/kartor/A 41395-2026 karta.png", "A 41395-2026")</f>
        <v/>
      </c>
      <c r="Y68">
        <f>HYPERLINK("https://klasma.github.io/Logging_1907/kartor_geotiff/A 41395-2026 georefererad karta.tif", "A 41395-2026")</f>
        <v/>
      </c>
      <c r="Z68">
        <f>HYPERLINK("https://klasma.github.io/Logging_1907/knärot/A 41395-2026 karta knärot.png", "A 41395-2026")</f>
        <v/>
      </c>
      <c r="AA68">
        <f>HYPERLINK("https://klasma.github.io/Logging_1907/klagomål/A 41395-2026 FSC-klagomål.docx", "A 41395-2026")</f>
        <v/>
      </c>
      <c r="AB68">
        <f>HYPERLINK("https://klasma.github.io/Logging_1907/klagomålsmail/A 41395-2026 FSC-klagomål mail.docx", "A 41395-2026")</f>
        <v/>
      </c>
      <c r="AC68">
        <f>HYPERLINK("https://klasma.github.io/Logging_1907/tillsyn/A 41395-2026 tillsynsbegäran.docx", "A 41395-2026")</f>
        <v/>
      </c>
      <c r="AD68">
        <f>HYPERLINK("https://klasma.github.io/Logging_1907/tillsynsmail/A 41395-2026 tillsynsbegäran mail.docx", "A 41395-2026")</f>
        <v/>
      </c>
    </row>
    <row r="69" ht="15" customHeight="1">
      <c r="A69" t="inlineStr">
        <is>
          <t>S 703-2025</t>
        </is>
      </c>
      <c r="B69" t="inlineStr">
        <is>
          <t>samrådsanmälan</t>
        </is>
      </c>
      <c r="C69" t="inlineStr">
        <is>
          <t>Skogsgödsling</t>
        </is>
      </c>
      <c r="D69" s="1" t="n">
        <v>45720</v>
      </c>
      <c r="E69" s="1" t="n">
        <v>46303</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46303</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46303</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46303</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46303</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33231-2024</t>
        </is>
      </c>
      <c r="B74" t="inlineStr">
        <is>
          <t>avverkningsanmälan</t>
        </is>
      </c>
      <c r="C74" t="inlineStr">
        <is>
          <t>Föryngringsavverkning</t>
        </is>
      </c>
      <c r="D74" s="1" t="n">
        <v>45518</v>
      </c>
      <c r="E74" s="1" t="n">
        <v>46303</v>
      </c>
      <c r="F74" t="inlineStr">
        <is>
          <t>VÄSTMANLANDS LÄN</t>
        </is>
      </c>
      <c r="G74" t="inlineStr">
        <is>
          <t>SURAHAMMAR</t>
        </is>
      </c>
      <c r="H74" t="inlineStr">
        <is>
          <t>Bergvik skog väst AB</t>
        </is>
      </c>
      <c r="I74" t="n">
        <v>1.5</v>
      </c>
      <c r="J74" t="n">
        <v>1</v>
      </c>
      <c r="K74" t="n">
        <v>0</v>
      </c>
      <c r="L74" t="n">
        <v>0</v>
      </c>
      <c r="M74" t="n">
        <v>0</v>
      </c>
      <c r="N74" t="n">
        <v>0</v>
      </c>
      <c r="O74" t="n">
        <v>0</v>
      </c>
      <c r="P74" t="n">
        <v>0</v>
      </c>
      <c r="Q74" t="n">
        <v>0</v>
      </c>
      <c r="R74" t="n">
        <v>0</v>
      </c>
      <c r="S74" t="n">
        <v>1</v>
      </c>
      <c r="T74" t="n">
        <v>1</v>
      </c>
      <c r="U74" t="n">
        <v>1</v>
      </c>
      <c r="V74" s="2" t="inlineStr">
        <is>
          <t>Mindre vattensalamander</t>
        </is>
      </c>
      <c r="W74">
        <f>HYPERLINK("https://klasma.github.io/Logging_1907/artfynd/A 33231-2024 artfynd.xlsx", "A 33231-2024")</f>
        <v/>
      </c>
      <c r="X74">
        <f>HYPERLINK("https://klasma.github.io/Logging_1907/kartor/A 33231-2024 karta.png", "A 33231-2024")</f>
        <v/>
      </c>
      <c r="Y74">
        <f>HYPERLINK("https://klasma.github.io/Logging_1907/kartor_geotiff/A 33231-2024 georefererad karta.tif", "A 33231-2024")</f>
        <v/>
      </c>
      <c r="AA74">
        <f>HYPERLINK("https://klasma.github.io/Logging_1907/klagomål/A 33231-2024 FSC-klagomål.docx", "A 33231-2024")</f>
        <v/>
      </c>
      <c r="AB74">
        <f>HYPERLINK("https://klasma.github.io/Logging_1907/klagomålsmail/A 33231-2024 FSC-klagomål mail.docx", "A 33231-2024")</f>
        <v/>
      </c>
      <c r="AC74">
        <f>HYPERLINK("https://klasma.github.io/Logging_1907/tillsyn/A 33231-2024 tillsynsbegäran.docx", "A 33231-2024")</f>
        <v/>
      </c>
      <c r="AD74">
        <f>HYPERLINK("https://klasma.github.io/Logging_1907/tillsynsmail/A 33231-2024 tillsynsbegäran mail.docx", "A 33231-2024")</f>
        <v/>
      </c>
    </row>
    <row r="75" ht="15" customHeight="1">
      <c r="A75" t="inlineStr">
        <is>
          <t>A 30076-2023</t>
        </is>
      </c>
      <c r="B75" t="inlineStr">
        <is>
          <t>avverkningsanmälan</t>
        </is>
      </c>
      <c r="C75" t="inlineStr">
        <is>
          <t>Föryngringsavverkning</t>
        </is>
      </c>
      <c r="D75" s="1" t="n">
        <v>45110</v>
      </c>
      <c r="E75" s="1" t="n">
        <v>46303</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39099-2022</t>
        </is>
      </c>
      <c r="B76" t="inlineStr">
        <is>
          <t>avverkningsanmälan</t>
        </is>
      </c>
      <c r="C76" t="inlineStr">
        <is>
          <t>Föryngringsavverkning</t>
        </is>
      </c>
      <c r="D76" s="1" t="n">
        <v>44817</v>
      </c>
      <c r="E76" s="1" t="n">
        <v>46303</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10883-2023</t>
        </is>
      </c>
      <c r="B77" t="inlineStr">
        <is>
          <t>avverkningsanmälan</t>
        </is>
      </c>
      <c r="C77" t="inlineStr">
        <is>
          <t>Föryngringsavverkning</t>
        </is>
      </c>
      <c r="D77" s="1" t="n">
        <v>44991</v>
      </c>
      <c r="E77" s="1" t="n">
        <v>46303</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24167-2024</t>
        </is>
      </c>
      <c r="B78" t="inlineStr">
        <is>
          <t>avverkningsanmälan</t>
        </is>
      </c>
      <c r="C78" t="inlineStr">
        <is>
          <t>Avverkning för annat ändamål</t>
        </is>
      </c>
      <c r="D78" s="1" t="n">
        <v>45456</v>
      </c>
      <c r="E78" s="1" t="n">
        <v>46303</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34584-2025</t>
        </is>
      </c>
      <c r="B79" t="inlineStr">
        <is>
          <t>avverkningsanmälan</t>
        </is>
      </c>
      <c r="C79" t="inlineStr">
        <is>
          <t>Föryngringsavverkning</t>
        </is>
      </c>
      <c r="D79" s="1" t="n">
        <v>45846</v>
      </c>
      <c r="E79" s="1" t="n">
        <v>46303</v>
      </c>
      <c r="F79" t="inlineStr">
        <is>
          <t>VÄSTMANLANDS LÄN</t>
        </is>
      </c>
      <c r="G79" t="inlineStr">
        <is>
          <t>SURAHAMMAR</t>
        </is>
      </c>
      <c r="H79" t="inlineStr">
        <is>
          <t>Bergvik skog väst AB</t>
        </is>
      </c>
      <c r="I79" t="n">
        <v>2.7</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HYPERLINK("https://klasma.github.io/Logging_1907/artfynd/A 34584-2025 artfynd.xlsx", "A 34584-2025")</f>
        <v/>
      </c>
      <c r="X79">
        <f>HYPERLINK("https://klasma.github.io/Logging_1907/kartor/A 34584-2025 karta.png", "A 34584-2025")</f>
        <v/>
      </c>
      <c r="Y79">
        <f>HYPERLINK("https://klasma.github.io/Logging_1907/kartor_geotiff/A 34584-2025 georefererad karta.tif", "A 34584-2025")</f>
        <v/>
      </c>
      <c r="AA79">
        <f>HYPERLINK("https://klasma.github.io/Logging_1907/klagomål/A 34584-2025 FSC-klagomål.docx", "A 34584-2025")</f>
        <v/>
      </c>
      <c r="AB79">
        <f>HYPERLINK("https://klasma.github.io/Logging_1907/klagomålsmail/A 34584-2025 FSC-klagomål mail.docx", "A 34584-2025")</f>
        <v/>
      </c>
      <c r="AC79">
        <f>HYPERLINK("https://klasma.github.io/Logging_1907/tillsyn/A 34584-2025 tillsynsbegäran.docx", "A 34584-2025")</f>
        <v/>
      </c>
      <c r="AD79">
        <f>HYPERLINK("https://klasma.github.io/Logging_1907/tillsynsmail/A 34584-2025 tillsynsbegäran mail.docx", "A 34584-2025")</f>
        <v/>
      </c>
      <c r="AE79">
        <f>HYPERLINK("https://klasma.github.io/Logging_1907/fåglar/A 34584-2025 prioriterade fågelarter.docx", "A 34584-2025")</f>
        <v/>
      </c>
    </row>
    <row r="80" ht="15" customHeight="1">
      <c r="A80" t="inlineStr">
        <is>
          <t>A 37287-2023</t>
        </is>
      </c>
      <c r="B80" t="inlineStr">
        <is>
          <t>avverkningsanmälan</t>
        </is>
      </c>
      <c r="C80" t="inlineStr">
        <is>
          <t>Föryngringsavverkning</t>
        </is>
      </c>
      <c r="D80" s="1" t="n">
        <v>45156</v>
      </c>
      <c r="E80" s="1" t="n">
        <v>46303</v>
      </c>
      <c r="F80" t="inlineStr">
        <is>
          <t>VÄSTMANLANDS LÄN</t>
        </is>
      </c>
      <c r="G80" t="inlineStr">
        <is>
          <t>SURAHAMMAR</t>
        </is>
      </c>
      <c r="I80" t="n">
        <v>0.6</v>
      </c>
      <c r="J80" t="n">
        <v>0</v>
      </c>
      <c r="K80" t="n">
        <v>0</v>
      </c>
      <c r="L80" t="n">
        <v>1</v>
      </c>
      <c r="M80" t="n">
        <v>0</v>
      </c>
      <c r="N80" t="n">
        <v>0</v>
      </c>
      <c r="O80" t="n">
        <v>0</v>
      </c>
      <c r="P80" t="n">
        <v>0</v>
      </c>
      <c r="Q80" t="n">
        <v>1</v>
      </c>
      <c r="R80" t="n">
        <v>0</v>
      </c>
      <c r="S80" t="n">
        <v>1</v>
      </c>
      <c r="T80" t="n">
        <v>1</v>
      </c>
      <c r="U80" t="n">
        <v>0</v>
      </c>
      <c r="V80" s="2" t="inlineStr">
        <is>
          <t>Mindre tåtelsmygare</t>
        </is>
      </c>
      <c r="W80">
        <f>HYPERLINK("https://klasma.github.io/Logging_1907/artfynd/A 37287-2023 artfynd.xlsx", "A 37287-2023")</f>
        <v/>
      </c>
      <c r="X80">
        <f>HYPERLINK("https://klasma.github.io/Logging_1907/kartor/A 37287-2023 karta.png", "A 37287-2023")</f>
        <v/>
      </c>
      <c r="Y80">
        <f>HYPERLINK("https://klasma.github.io/Logging_1907/kartor_geotiff/A 37287-2023 georefererad karta.tif", "A 37287-2023")</f>
        <v/>
      </c>
      <c r="AA80">
        <f>HYPERLINK("https://klasma.github.io/Logging_1907/klagomål/A 37287-2023 FSC-klagomål.docx", "A 37287-2023")</f>
        <v/>
      </c>
      <c r="AB80">
        <f>HYPERLINK("https://klasma.github.io/Logging_1907/klagomålsmail/A 37287-2023 FSC-klagomål mail.docx", "A 37287-2023")</f>
        <v/>
      </c>
      <c r="AC80">
        <f>HYPERLINK("https://klasma.github.io/Logging_1907/tillsyn/A 37287-2023 tillsynsbegäran.docx", "A 37287-2023")</f>
        <v/>
      </c>
      <c r="AD80">
        <f>HYPERLINK("https://klasma.github.io/Logging_1907/tillsynsmail/A 37287-2023 tillsynsbegäran mail.docx", "A 37287-2023")</f>
        <v/>
      </c>
    </row>
    <row r="81" ht="15" customHeight="1">
      <c r="A81" t="inlineStr">
        <is>
          <t>A 44356-2024</t>
        </is>
      </c>
      <c r="B81" t="inlineStr">
        <is>
          <t>avverkningsanmälan</t>
        </is>
      </c>
      <c r="C81" t="inlineStr">
        <is>
          <t>Föryngringsavverkning</t>
        </is>
      </c>
      <c r="D81" s="1" t="n">
        <v>45573</v>
      </c>
      <c r="E81" s="1" t="n">
        <v>46303</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8553-2023</t>
        </is>
      </c>
      <c r="B82" t="inlineStr">
        <is>
          <t>avverkningsanmälan</t>
        </is>
      </c>
      <c r="C82" t="inlineStr">
        <is>
          <t>Avverkning för att bevara och utveckla /försöksver</t>
        </is>
      </c>
      <c r="D82" s="1" t="n">
        <v>44977</v>
      </c>
      <c r="E82" s="1" t="n">
        <v>46303</v>
      </c>
      <c r="F82" t="inlineStr">
        <is>
          <t>VÄSTMANLANDS LÄN</t>
        </is>
      </c>
      <c r="G82" t="inlineStr">
        <is>
          <t>SURAHAMMAR</t>
        </is>
      </c>
      <c r="H82" t="inlineStr">
        <is>
          <t>Sveaskog</t>
        </is>
      </c>
      <c r="I82" t="n">
        <v>1.5</v>
      </c>
      <c r="J82" t="n">
        <v>1</v>
      </c>
      <c r="K82" t="n">
        <v>0</v>
      </c>
      <c r="L82" t="n">
        <v>0</v>
      </c>
      <c r="M82" t="n">
        <v>1</v>
      </c>
      <c r="N82" t="n">
        <v>0</v>
      </c>
      <c r="O82" t="n">
        <v>0</v>
      </c>
      <c r="P82" t="n">
        <v>0</v>
      </c>
      <c r="Q82" t="n">
        <v>1</v>
      </c>
      <c r="R82" t="n">
        <v>1</v>
      </c>
      <c r="S82" t="n">
        <v>1</v>
      </c>
      <c r="T82" t="n">
        <v>1</v>
      </c>
      <c r="U82" t="n">
        <v>0</v>
      </c>
      <c r="V82" s="2" t="inlineStr">
        <is>
          <t>Väddnätfjäril</t>
        </is>
      </c>
      <c r="W82">
        <f>HYPERLINK("https://klasma.github.io/Logging_1907/artfynd/A 8553-2023 artfynd.xlsx", "A 8553-2023")</f>
        <v/>
      </c>
      <c r="X82">
        <f>HYPERLINK("https://klasma.github.io/Logging_1907/kartor/A 8553-2023 karta.png", "A 8553-2023")</f>
        <v/>
      </c>
      <c r="Y82">
        <f>HYPERLINK("https://klasma.github.io/Logging_1907/kartor_geotiff/A 8553-2023 georefererad karta.tif", "A 8553-2023")</f>
        <v/>
      </c>
      <c r="AA82">
        <f>HYPERLINK("https://klasma.github.io/Logging_1907/klagomål/A 8553-2023 FSC-klagomål.docx", "A 8553-2023")</f>
        <v/>
      </c>
      <c r="AB82">
        <f>HYPERLINK("https://klasma.github.io/Logging_1907/klagomålsmail/A 8553-2023 FSC-klagomål mail.docx", "A 8553-2023")</f>
        <v/>
      </c>
      <c r="AC82">
        <f>HYPERLINK("https://klasma.github.io/Logging_1907/tillsyn/A 8553-2023 tillsynsbegäran.docx", "A 8553-2023")</f>
        <v/>
      </c>
      <c r="AD82">
        <f>HYPERLINK("https://klasma.github.io/Logging_1907/tillsynsmail/A 8553-2023 tillsynsbegäran mail.docx", "A 8553-2023")</f>
        <v/>
      </c>
    </row>
    <row r="83" ht="15" customHeight="1">
      <c r="A83" t="inlineStr">
        <is>
          <t>A 16013-2023</t>
        </is>
      </c>
      <c r="B83" t="inlineStr">
        <is>
          <t>avverkningsanmälan</t>
        </is>
      </c>
      <c r="C83" t="inlineStr">
        <is>
          <t>Föryngringsavverkning</t>
        </is>
      </c>
      <c r="D83" s="1" t="n">
        <v>45026</v>
      </c>
      <c r="E83" s="1" t="n">
        <v>46303</v>
      </c>
      <c r="F83" t="inlineStr">
        <is>
          <t>VÄSTMANLANDS LÄN</t>
        </is>
      </c>
      <c r="G83" t="inlineStr">
        <is>
          <t>SURAHAMMAR</t>
        </is>
      </c>
      <c r="I83" t="n">
        <v>3.9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HYPERLINK("https://klasma.github.io/Logging_1907/artfynd/A 16013-2023 artfynd.xlsx", "A 16013-2023")</f>
        <v/>
      </c>
      <c r="X83">
        <f>HYPERLINK("https://klasma.github.io/Logging_1907/kartor/A 16013-2023 karta.png", "A 16013-2023")</f>
        <v/>
      </c>
      <c r="Y83">
        <f>HYPERLINK("https://klasma.github.io/Logging_1907/kartor_geotiff/A 16013-2023 georefererad karta.tif", "A 16013-2023")</f>
        <v/>
      </c>
      <c r="AA83">
        <f>HYPERLINK("https://klasma.github.io/Logging_1907/klagomål/A 16013-2023 FSC-klagomål.docx", "A 16013-2023")</f>
        <v/>
      </c>
      <c r="AB83">
        <f>HYPERLINK("https://klasma.github.io/Logging_1907/klagomålsmail/A 16013-2023 FSC-klagomål mail.docx", "A 16013-2023")</f>
        <v/>
      </c>
      <c r="AC83">
        <f>HYPERLINK("https://klasma.github.io/Logging_1907/tillsyn/A 16013-2023 tillsynsbegäran.docx", "A 16013-2023")</f>
        <v/>
      </c>
      <c r="AD83">
        <f>HYPERLINK("https://klasma.github.io/Logging_1907/tillsynsmail/A 16013-2023 tillsynsbegäran mail.docx", "A 16013-2023")</f>
        <v/>
      </c>
    </row>
    <row r="84" ht="15" customHeight="1">
      <c r="A84" t="inlineStr">
        <is>
          <t>A 34955-2022</t>
        </is>
      </c>
      <c r="B84" t="inlineStr">
        <is>
          <t>avverkningsanmälan</t>
        </is>
      </c>
      <c r="C84" t="inlineStr">
        <is>
          <t>Föryngringsavverkning</t>
        </is>
      </c>
      <c r="D84" s="1" t="n">
        <v>44796</v>
      </c>
      <c r="E84" s="1" t="n">
        <v>46303</v>
      </c>
      <c r="F84" t="inlineStr">
        <is>
          <t>VÄSTMANLANDS LÄN</t>
        </is>
      </c>
      <c r="G84" t="inlineStr">
        <is>
          <t>SURAHAMMAR</t>
        </is>
      </c>
      <c r="H84" t="inlineStr">
        <is>
          <t>Sveaskog</t>
        </is>
      </c>
      <c r="I84" t="n">
        <v>4.6</v>
      </c>
      <c r="J84" t="n">
        <v>0</v>
      </c>
      <c r="K84" t="n">
        <v>0</v>
      </c>
      <c r="L84" t="n">
        <v>1</v>
      </c>
      <c r="M84" t="n">
        <v>0</v>
      </c>
      <c r="N84" t="n">
        <v>0</v>
      </c>
      <c r="O84" t="n">
        <v>0</v>
      </c>
      <c r="P84" t="n">
        <v>0</v>
      </c>
      <c r="Q84" t="n">
        <v>1</v>
      </c>
      <c r="R84" t="n">
        <v>0</v>
      </c>
      <c r="S84" t="n">
        <v>1</v>
      </c>
      <c r="T84" t="n">
        <v>1</v>
      </c>
      <c r="U84" t="n">
        <v>1</v>
      </c>
      <c r="V84" s="2" t="inlineStr">
        <is>
          <t>Svinrot</t>
        </is>
      </c>
      <c r="W84">
        <f>HYPERLINK("https://klasma.github.io/Logging_1907/artfynd/A 34955-2022 artfynd.xlsx", "A 34955-2022")</f>
        <v/>
      </c>
      <c r="X84">
        <f>HYPERLINK("https://klasma.github.io/Logging_1907/kartor/A 34955-2022 karta.png", "A 34955-2022")</f>
        <v/>
      </c>
      <c r="Y84">
        <f>HYPERLINK("https://klasma.github.io/Logging_1907/kartor_geotiff/A 34955-2022 georefererad karta.tif", "A 34955-2022")</f>
        <v/>
      </c>
      <c r="AA84">
        <f>HYPERLINK("https://klasma.github.io/Logging_1907/klagomål/A 34955-2022 FSC-klagomål.docx", "A 34955-2022")</f>
        <v/>
      </c>
      <c r="AB84">
        <f>HYPERLINK("https://klasma.github.io/Logging_1907/klagomålsmail/A 34955-2022 FSC-klagomål mail.docx", "A 34955-2022")</f>
        <v/>
      </c>
      <c r="AC84">
        <f>HYPERLINK("https://klasma.github.io/Logging_1907/tillsyn/A 34955-2022 tillsynsbegäran.docx", "A 34955-2022")</f>
        <v/>
      </c>
      <c r="AD84">
        <f>HYPERLINK("https://klasma.github.io/Logging_1907/tillsynsmail/A 34955-2022 tillsynsbegäran mail.docx", "A 34955-2022")</f>
        <v/>
      </c>
    </row>
    <row r="85" ht="15" customHeight="1">
      <c r="A85" t="inlineStr">
        <is>
          <t>A 17632-2022</t>
        </is>
      </c>
      <c r="B85" t="inlineStr">
        <is>
          <t>avverkningsanmälan</t>
        </is>
      </c>
      <c r="C85" t="inlineStr">
        <is>
          <t>Föryngringsavverkning</t>
        </is>
      </c>
      <c r="D85" s="1" t="n">
        <v>44680</v>
      </c>
      <c r="E85" s="1" t="n">
        <v>46303</v>
      </c>
      <c r="F85" t="inlineStr">
        <is>
          <t>VÄSTMANLANDS LÄN</t>
        </is>
      </c>
      <c r="G85" t="inlineStr">
        <is>
          <t>SURAHAMMAR</t>
        </is>
      </c>
      <c r="I85" t="n">
        <v>5.2</v>
      </c>
      <c r="J85" t="n">
        <v>0</v>
      </c>
      <c r="K85" t="n">
        <v>1</v>
      </c>
      <c r="L85" t="n">
        <v>0</v>
      </c>
      <c r="M85" t="n">
        <v>0</v>
      </c>
      <c r="N85" t="n">
        <v>0</v>
      </c>
      <c r="O85" t="n">
        <v>0</v>
      </c>
      <c r="P85" t="n">
        <v>0</v>
      </c>
      <c r="Q85" t="n">
        <v>0</v>
      </c>
      <c r="R85" t="n">
        <v>0</v>
      </c>
      <c r="S85" t="n">
        <v>1</v>
      </c>
      <c r="T85" t="n">
        <v>1</v>
      </c>
      <c r="U85" t="n">
        <v>0</v>
      </c>
      <c r="V85" s="2" t="inlineStr">
        <is>
          <t>Blodticka</t>
        </is>
      </c>
      <c r="W85">
        <f>HYPERLINK("https://klasma.github.io/Logging_1907/artfynd/A 17632-2022 artfynd.xlsx", "A 17632-2022")</f>
        <v/>
      </c>
      <c r="X85">
        <f>HYPERLINK("https://klasma.github.io/Logging_1907/kartor/A 17632-2022 karta.png", "A 17632-2022")</f>
        <v/>
      </c>
      <c r="Y85">
        <f>HYPERLINK("https://klasma.github.io/Logging_1907/kartor_geotiff/A 17632-2022 georefererad karta.tif", "A 17632-2022")</f>
        <v/>
      </c>
      <c r="AA85">
        <f>HYPERLINK("https://klasma.github.io/Logging_1907/klagomål/A 17632-2022 FSC-klagomål.docx", "A 17632-2022")</f>
        <v/>
      </c>
      <c r="AB85">
        <f>HYPERLINK("https://klasma.github.io/Logging_1907/klagomålsmail/A 17632-2022 FSC-klagomål mail.docx", "A 17632-2022")</f>
        <v/>
      </c>
      <c r="AC85">
        <f>HYPERLINK("https://klasma.github.io/Logging_1907/tillsyn/A 17632-2022 tillsynsbegäran.docx", "A 17632-2022")</f>
        <v/>
      </c>
      <c r="AD85">
        <f>HYPERLINK("https://klasma.github.io/Logging_1907/tillsynsmail/A 17632-2022 tillsynsbegäran mail.docx", "A 17632-2022")</f>
        <v/>
      </c>
    </row>
    <row r="86" ht="15" customHeight="1">
      <c r="A86" t="inlineStr">
        <is>
          <t>A 31589-2026</t>
        </is>
      </c>
      <c r="B86" t="inlineStr">
        <is>
          <t>avverkningsanmälan</t>
        </is>
      </c>
      <c r="C86" t="inlineStr">
        <is>
          <t>Föryngringsavverkning</t>
        </is>
      </c>
      <c r="D86" s="1" t="n">
        <v>46224</v>
      </c>
      <c r="E86" s="1" t="n">
        <v>46303</v>
      </c>
      <c r="F86" t="inlineStr">
        <is>
          <t>VÄSTMANLANDS LÄN</t>
        </is>
      </c>
      <c r="G86" t="inlineStr">
        <is>
          <t>SURAHAMMAR</t>
        </is>
      </c>
      <c r="H86" t="inlineStr">
        <is>
          <t>Allmännings- och besparingsskogar</t>
        </is>
      </c>
      <c r="I86" t="n">
        <v>7</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HYPERLINK("https://klasma.github.io/Logging_1907/artfynd/A 31589-2026 artfynd.xlsx", "A 31589-2026")</f>
        <v/>
      </c>
      <c r="X86">
        <f>HYPERLINK("https://klasma.github.io/Logging_1907/kartor/A 31589-2026 karta.png", "A 31589-2026")</f>
        <v/>
      </c>
      <c r="Y86">
        <f>HYPERLINK("https://klasma.github.io/Logging_1907/kartor_geotiff/A 31589-2026 georefererad karta.tif", "A 31589-2026")</f>
        <v/>
      </c>
      <c r="AA86">
        <f>HYPERLINK("https://klasma.github.io/Logging_1907/klagomål/A 31589-2026 FSC-klagomål.docx", "A 31589-2026")</f>
        <v/>
      </c>
      <c r="AB86">
        <f>HYPERLINK("https://klasma.github.io/Logging_1907/klagomålsmail/A 31589-2026 FSC-klagomål mail.docx", "A 31589-2026")</f>
        <v/>
      </c>
      <c r="AC86">
        <f>HYPERLINK("https://klasma.github.io/Logging_1907/tillsyn/A 31589-2026 tillsynsbegäran.docx", "A 31589-2026")</f>
        <v/>
      </c>
      <c r="AD86">
        <f>HYPERLINK("https://klasma.github.io/Logging_1907/tillsynsmail/A 31589-2026 tillsynsbegäran mail.docx", "A 31589-2026")</f>
        <v/>
      </c>
    </row>
    <row r="87" ht="15" customHeight="1">
      <c r="A87" t="inlineStr">
        <is>
          <t>A 64073-2021</t>
        </is>
      </c>
      <c r="B87" t="inlineStr">
        <is>
          <t>avverkningsanmälan</t>
        </is>
      </c>
      <c r="C87" t="inlineStr">
        <is>
          <t>Avverkning för annat ändamål</t>
        </is>
      </c>
      <c r="D87" s="1" t="n">
        <v>44509</v>
      </c>
      <c r="E87" s="1" t="n">
        <v>46303</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46303</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46303</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46303</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46303</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46303</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46303</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48205-2023</t>
        </is>
      </c>
      <c r="B94" t="inlineStr">
        <is>
          <t>avverkningsanmälan</t>
        </is>
      </c>
      <c r="C94" t="inlineStr">
        <is>
          <t>Föryngringsavverkning</t>
        </is>
      </c>
      <c r="D94" s="1" t="n">
        <v>45205</v>
      </c>
      <c r="E94" s="1" t="n">
        <v>46303</v>
      </c>
      <c r="F94" t="inlineStr">
        <is>
          <t>VÄSTMANLANDS LÄN</t>
        </is>
      </c>
      <c r="G94" t="inlineStr">
        <is>
          <t>SURAHAMMAR</t>
        </is>
      </c>
      <c r="H94" t="inlineStr">
        <is>
          <t>Allmännings- och besparingsskogar</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46303</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66342-2021</t>
        </is>
      </c>
      <c r="B96" t="inlineStr">
        <is>
          <t>avverkningsanmälan</t>
        </is>
      </c>
      <c r="C96" t="inlineStr">
        <is>
          <t>Föryngringsavverkning</t>
        </is>
      </c>
      <c r="D96" s="1" t="n">
        <v>44518</v>
      </c>
      <c r="E96" s="1" t="n">
        <v>46303</v>
      </c>
      <c r="F96" t="inlineStr">
        <is>
          <t>VÄSTMANLANDS LÄN</t>
        </is>
      </c>
      <c r="G96" t="inlineStr">
        <is>
          <t>SURAHAMMAR</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7787-2024</t>
        </is>
      </c>
      <c r="B97" t="inlineStr">
        <is>
          <t>avverkningsanmälan</t>
        </is>
      </c>
      <c r="C97" t="inlineStr">
        <is>
          <t>Föryngringsavverkning</t>
        </is>
      </c>
      <c r="D97" s="1" t="n">
        <v>45348</v>
      </c>
      <c r="E97" s="1" t="n">
        <v>46303</v>
      </c>
      <c r="F97" t="inlineStr">
        <is>
          <t>VÄSTMANLANDS LÄN</t>
        </is>
      </c>
      <c r="G97" t="inlineStr">
        <is>
          <t>SURAHAMMAR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33931-2022</t>
        </is>
      </c>
      <c r="B98" t="inlineStr">
        <is>
          <t>avverkningsanmälan</t>
        </is>
      </c>
      <c r="C98" t="inlineStr">
        <is>
          <t>Föryngringsavverkning</t>
        </is>
      </c>
      <c r="D98" s="1" t="n">
        <v>44790</v>
      </c>
      <c r="E98" s="1" t="n">
        <v>46303</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22662-2023</t>
        </is>
      </c>
      <c r="B99" t="inlineStr">
        <is>
          <t>avverkningsanmälan</t>
        </is>
      </c>
      <c r="C99" t="inlineStr">
        <is>
          <t>Avverkning för att bevara och utveckla /försöksver</t>
        </is>
      </c>
      <c r="D99" s="1" t="n">
        <v>45071</v>
      </c>
      <c r="E99" s="1" t="n">
        <v>46303</v>
      </c>
      <c r="F99" t="inlineStr">
        <is>
          <t>VÄSTMANLANDS LÄN</t>
        </is>
      </c>
      <c r="G99" t="inlineStr">
        <is>
          <t>SURAHAMMAR</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21509-2024</t>
        </is>
      </c>
      <c r="B100" t="inlineStr">
        <is>
          <t>avverkningsanmälan</t>
        </is>
      </c>
      <c r="C100" t="inlineStr">
        <is>
          <t>Föryngringsavverkning</t>
        </is>
      </c>
      <c r="D100" s="1" t="n">
        <v>45441</v>
      </c>
      <c r="E100" s="1" t="n">
        <v>46303</v>
      </c>
      <c r="F100" t="inlineStr">
        <is>
          <t>VÄSTMANLANDS LÄN</t>
        </is>
      </c>
      <c r="G100" t="inlineStr">
        <is>
          <t>SURAHAMMAR</t>
        </is>
      </c>
      <c r="H100" t="inlineStr">
        <is>
          <t>Bergvik skog väst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42832-2022</t>
        </is>
      </c>
      <c r="B101" t="inlineStr">
        <is>
          <t>avverkningsanmälan</t>
        </is>
      </c>
      <c r="C101" t="inlineStr">
        <is>
          <t>Avverkning för annat ändamål</t>
        </is>
      </c>
      <c r="D101" s="1" t="n">
        <v>44832</v>
      </c>
      <c r="E101" s="1" t="n">
        <v>46303</v>
      </c>
      <c r="F101" t="inlineStr">
        <is>
          <t>VÄSTMANLANDS LÄN</t>
        </is>
      </c>
      <c r="G101" t="inlineStr">
        <is>
          <t>SURAHAMMAR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42841-2022</t>
        </is>
      </c>
      <c r="B102" t="inlineStr">
        <is>
          <t>avverkningsanmälan</t>
        </is>
      </c>
      <c r="C102" t="inlineStr">
        <is>
          <t>Avverkning för annat ändamål</t>
        </is>
      </c>
      <c r="D102" s="1" t="n">
        <v>44832</v>
      </c>
      <c r="E102" s="1" t="n">
        <v>46303</v>
      </c>
      <c r="F102" t="inlineStr">
        <is>
          <t>VÄSTMANLANDS LÄN</t>
        </is>
      </c>
      <c r="G102" t="inlineStr">
        <is>
          <t>SURAHAMMAR</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46303</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15739-2023</t>
        </is>
      </c>
      <c r="B104" t="inlineStr">
        <is>
          <t>avverkningsanmälan</t>
        </is>
      </c>
      <c r="C104" t="inlineStr">
        <is>
          <t>Föryngringsavverkning</t>
        </is>
      </c>
      <c r="D104" s="1" t="n">
        <v>45021</v>
      </c>
      <c r="E104" s="1" t="n">
        <v>46303</v>
      </c>
      <c r="F104" t="inlineStr">
        <is>
          <t>VÄSTMANLANDS LÄN</t>
        </is>
      </c>
      <c r="G104" t="inlineStr">
        <is>
          <t>SURAHAMMAR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25450-2024</t>
        </is>
      </c>
      <c r="B105" t="inlineStr">
        <is>
          <t>avverkningsanmälan</t>
        </is>
      </c>
      <c r="C105" t="inlineStr">
        <is>
          <t>Föryngringsavverkning</t>
        </is>
      </c>
      <c r="D105" s="1" t="n">
        <v>45463</v>
      </c>
      <c r="E105" s="1" t="n">
        <v>46303</v>
      </c>
      <c r="F105" t="inlineStr">
        <is>
          <t>VÄSTMANLANDS LÄN</t>
        </is>
      </c>
      <c r="G105" t="inlineStr">
        <is>
          <t>SURAHAMMAR</t>
        </is>
      </c>
      <c r="H105" t="inlineStr">
        <is>
          <t>Bergvik skog väst AB</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24665-2023</t>
        </is>
      </c>
      <c r="B106" t="inlineStr">
        <is>
          <t>avverkningsanmälan</t>
        </is>
      </c>
      <c r="C106" t="inlineStr">
        <is>
          <t>Föryngringsavverkning</t>
        </is>
      </c>
      <c r="D106" s="1" t="n">
        <v>45084</v>
      </c>
      <c r="E106" s="1" t="n">
        <v>46303</v>
      </c>
      <c r="F106" t="inlineStr">
        <is>
          <t>VÄSTMANLANDS LÄN</t>
        </is>
      </c>
      <c r="G106" t="inlineStr">
        <is>
          <t>SURAHAMMAR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3818-2022</t>
        </is>
      </c>
      <c r="B107" t="inlineStr">
        <is>
          <t>avverkningsanmälan</t>
        </is>
      </c>
      <c r="C107" t="inlineStr">
        <is>
          <t>Föryngringsavverkning</t>
        </is>
      </c>
      <c r="D107" s="1" t="n">
        <v>44587</v>
      </c>
      <c r="E107" s="1" t="n">
        <v>46303</v>
      </c>
      <c r="F107" t="inlineStr">
        <is>
          <t>VÄSTMANLANDS LÄN</t>
        </is>
      </c>
      <c r="G107" t="inlineStr">
        <is>
          <t>SURAHAMMAR</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72367-2021</t>
        </is>
      </c>
      <c r="B108" t="inlineStr">
        <is>
          <t>avverkningsanmälan</t>
        </is>
      </c>
      <c r="C108" t="inlineStr">
        <is>
          <t>Föryngringsavverkning</t>
        </is>
      </c>
      <c r="D108" s="1" t="n">
        <v>44545</v>
      </c>
      <c r="E108" s="1" t="n">
        <v>46303</v>
      </c>
      <c r="F108" t="inlineStr">
        <is>
          <t>VÄSTMANLANDS LÄN</t>
        </is>
      </c>
      <c r="G108" t="inlineStr">
        <is>
          <t>SURAHAMMAR</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42714-2022</t>
        </is>
      </c>
      <c r="B109" t="inlineStr">
        <is>
          <t>avverkningsanmälan</t>
        </is>
      </c>
      <c r="C109" t="inlineStr">
        <is>
          <t>Föryngringsavverkning</t>
        </is>
      </c>
      <c r="D109" s="1" t="n">
        <v>44832</v>
      </c>
      <c r="E109" s="1" t="n">
        <v>46303</v>
      </c>
      <c r="F109" t="inlineStr">
        <is>
          <t>VÄSTMANLANDS LÄN</t>
        </is>
      </c>
      <c r="G109" t="inlineStr">
        <is>
          <t>SURAHAMMAR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19782-2023</t>
        </is>
      </c>
      <c r="B110" t="inlineStr">
        <is>
          <t>avverkningsanmälan</t>
        </is>
      </c>
      <c r="C110" t="inlineStr">
        <is>
          <t>Föryngringsavverkning</t>
        </is>
      </c>
      <c r="D110" s="1" t="n">
        <v>45050</v>
      </c>
      <c r="E110" s="1" t="n">
        <v>46303</v>
      </c>
      <c r="F110" t="inlineStr">
        <is>
          <t>VÄSTMANLANDS LÄN</t>
        </is>
      </c>
      <c r="G110" t="inlineStr">
        <is>
          <t>SURAHAMMAR</t>
        </is>
      </c>
      <c r="H110" t="inlineStr">
        <is>
          <t>Bergvik skog väst AB</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14626-2023</t>
        </is>
      </c>
      <c r="B111" t="inlineStr">
        <is>
          <t>avverkningsanmälan</t>
        </is>
      </c>
      <c r="C111" t="inlineStr">
        <is>
          <t>Föryngringsavverkning</t>
        </is>
      </c>
      <c r="D111" s="1" t="n">
        <v>45012</v>
      </c>
      <c r="E111" s="1" t="n">
        <v>46303</v>
      </c>
      <c r="F111" t="inlineStr">
        <is>
          <t>VÄSTMANLANDS LÄN</t>
        </is>
      </c>
      <c r="G111" t="inlineStr">
        <is>
          <t>SURAHAMMAR</t>
        </is>
      </c>
      <c r="H111" t="inlineStr">
        <is>
          <t>Bergvik skog väst AB</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19099-2022</t>
        </is>
      </c>
      <c r="B112" t="inlineStr">
        <is>
          <t>avverkningsanmälan</t>
        </is>
      </c>
      <c r="C112" t="inlineStr">
        <is>
          <t>Föryngringsavverkning</t>
        </is>
      </c>
      <c r="D112" s="1" t="n">
        <v>44691</v>
      </c>
      <c r="E112" s="1" t="n">
        <v>46303</v>
      </c>
      <c r="F112" t="inlineStr">
        <is>
          <t>VÄSTMANLANDS LÄN</t>
        </is>
      </c>
      <c r="G112" t="inlineStr">
        <is>
          <t>SURAHAMMAR</t>
        </is>
      </c>
      <c r="H112" t="inlineStr">
        <is>
          <t>Övriga Aktiebolag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55873-2025</t>
        </is>
      </c>
      <c r="B113" t="inlineStr">
        <is>
          <t>avverkningsanmälan</t>
        </is>
      </c>
      <c r="C113" t="inlineStr">
        <is>
          <t>Föryngringsavverkning</t>
        </is>
      </c>
      <c r="D113" s="1" t="n">
        <v>45973</v>
      </c>
      <c r="E113" s="1" t="n">
        <v>46303</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56378-2023</t>
        </is>
      </c>
      <c r="B114" t="inlineStr">
        <is>
          <t>avverkningsanmälan</t>
        </is>
      </c>
      <c r="C114" t="inlineStr">
        <is>
          <t>Föryngringsavverkning</t>
        </is>
      </c>
      <c r="D114" s="1" t="n">
        <v>45236</v>
      </c>
      <c r="E114" s="1" t="n">
        <v>46303</v>
      </c>
      <c r="F114" t="inlineStr">
        <is>
          <t>VÄSTMANLANDS LÄN</t>
        </is>
      </c>
      <c r="G114" t="inlineStr">
        <is>
          <t>SURAHAMMAR</t>
        </is>
      </c>
      <c r="H114" t="inlineStr">
        <is>
          <t>Bergvik skog väst AB</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11728-2023</t>
        </is>
      </c>
      <c r="B115" t="inlineStr">
        <is>
          <t>avverkningsanmälan</t>
        </is>
      </c>
      <c r="C115" t="inlineStr">
        <is>
          <t>Avverkning för att bevara och utveckla /försöksver</t>
        </is>
      </c>
      <c r="D115" s="1" t="n">
        <v>44993</v>
      </c>
      <c r="E115" s="1" t="n">
        <v>46303</v>
      </c>
      <c r="F115" t="inlineStr">
        <is>
          <t>VÄSTMANLANDS LÄN</t>
        </is>
      </c>
      <c r="G115" t="inlineStr">
        <is>
          <t>SURAHAMMAR</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32808-2024</t>
        </is>
      </c>
      <c r="B116" t="inlineStr">
        <is>
          <t>avverkningsanmälan</t>
        </is>
      </c>
      <c r="C116" t="inlineStr">
        <is>
          <t>Föryngringsavverkning</t>
        </is>
      </c>
      <c r="D116" s="1" t="n">
        <v>45516</v>
      </c>
      <c r="E116" s="1" t="n">
        <v>46303</v>
      </c>
      <c r="F116" t="inlineStr">
        <is>
          <t>VÄSTMANLANDS LÄN</t>
        </is>
      </c>
      <c r="G116" t="inlineStr">
        <is>
          <t>SURAHAMMAR</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20535-2026</t>
        </is>
      </c>
      <c r="B117" t="inlineStr">
        <is>
          <t>avverkningsanmälan</t>
        </is>
      </c>
      <c r="C117" t="inlineStr">
        <is>
          <t>Avverkning för annat ändamål</t>
        </is>
      </c>
      <c r="D117" s="1" t="n">
        <v>46140</v>
      </c>
      <c r="E117" s="1" t="n">
        <v>46303</v>
      </c>
      <c r="F117" t="inlineStr">
        <is>
          <t>VÄSTMANLANDS LÄN</t>
        </is>
      </c>
      <c r="G117" t="inlineStr">
        <is>
          <t>SURAHAMMAR</t>
        </is>
      </c>
      <c r="H117" t="inlineStr">
        <is>
          <t>Bergvik skog väst AB</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25780-2023</t>
        </is>
      </c>
      <c r="B118" t="inlineStr">
        <is>
          <t>avverkningsanmälan</t>
        </is>
      </c>
      <c r="C118" t="inlineStr">
        <is>
          <t>Föryngringsavverkning</t>
        </is>
      </c>
      <c r="D118" s="1" t="n">
        <v>45090</v>
      </c>
      <c r="E118" s="1" t="n">
        <v>46303</v>
      </c>
      <c r="F118" t="inlineStr">
        <is>
          <t>VÄSTMANLANDS LÄN</t>
        </is>
      </c>
      <c r="G118" t="inlineStr">
        <is>
          <t>SURAHAMMAR</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49058-2024</t>
        </is>
      </c>
      <c r="B119" t="inlineStr">
        <is>
          <t>avverkningsanmälan</t>
        </is>
      </c>
      <c r="C119" t="inlineStr">
        <is>
          <t>Föryngringsavverkning</t>
        </is>
      </c>
      <c r="D119" s="1" t="n">
        <v>45594</v>
      </c>
      <c r="E119" s="1" t="n">
        <v>46303</v>
      </c>
      <c r="F119" t="inlineStr">
        <is>
          <t>VÄSTMANLANDS LÄN</t>
        </is>
      </c>
      <c r="G119" t="inlineStr">
        <is>
          <t>SURAHAMMAR</t>
        </is>
      </c>
      <c r="H119" t="inlineStr">
        <is>
          <t>Sveaskog</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35682-2022</t>
        </is>
      </c>
      <c r="B120" t="inlineStr">
        <is>
          <t>avverkningsanmälan</t>
        </is>
      </c>
      <c r="C120" t="inlineStr">
        <is>
          <t>Föryngringsavverkning</t>
        </is>
      </c>
      <c r="D120" s="1" t="n">
        <v>44799</v>
      </c>
      <c r="E120" s="1" t="n">
        <v>46303</v>
      </c>
      <c r="F120" t="inlineStr">
        <is>
          <t>VÄSTMANLANDS LÄN</t>
        </is>
      </c>
      <c r="G120" t="inlineStr">
        <is>
          <t>SURAHAMMAR</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20904-2023</t>
        </is>
      </c>
      <c r="B121" t="inlineStr">
        <is>
          <t>avverkningsanmälan</t>
        </is>
      </c>
      <c r="C121" t="inlineStr">
        <is>
          <t>Avverkning för att bevara och utveckla /försöksver</t>
        </is>
      </c>
      <c r="D121" s="1" t="n">
        <v>45060</v>
      </c>
      <c r="E121" s="1" t="n">
        <v>46303</v>
      </c>
      <c r="F121" t="inlineStr">
        <is>
          <t>VÄSTMANLANDS LÄN</t>
        </is>
      </c>
      <c r="G121" t="inlineStr">
        <is>
          <t>SURAHAMMAR</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42829-2022</t>
        </is>
      </c>
      <c r="B122" t="inlineStr">
        <is>
          <t>avverkningsanmälan</t>
        </is>
      </c>
      <c r="C122" t="inlineStr">
        <is>
          <t>Avverkning för annat ändamål</t>
        </is>
      </c>
      <c r="D122" s="1" t="n">
        <v>44832</v>
      </c>
      <c r="E122" s="1" t="n">
        <v>46303</v>
      </c>
      <c r="F122" t="inlineStr">
        <is>
          <t>VÄSTMANLANDS LÄN</t>
        </is>
      </c>
      <c r="G122" t="inlineStr">
        <is>
          <t>SURAHAMMAR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2867-2024</t>
        </is>
      </c>
      <c r="B123" t="inlineStr">
        <is>
          <t>avverkningsanmälan</t>
        </is>
      </c>
      <c r="C123" t="inlineStr">
        <is>
          <t>Föryngringsavverkning</t>
        </is>
      </c>
      <c r="D123" s="1" t="n">
        <v>45315</v>
      </c>
      <c r="E123" s="1" t="n">
        <v>46303</v>
      </c>
      <c r="F123" t="inlineStr">
        <is>
          <t>VÄSTMANLANDS LÄN</t>
        </is>
      </c>
      <c r="G123" t="inlineStr">
        <is>
          <t>SURAHAMMAR</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2660-2024</t>
        </is>
      </c>
      <c r="B124" t="inlineStr">
        <is>
          <t>avverkningsanmälan</t>
        </is>
      </c>
      <c r="C124" t="inlineStr">
        <is>
          <t>Föryngringsavverkning</t>
        </is>
      </c>
      <c r="D124" s="1" t="n">
        <v>45310</v>
      </c>
      <c r="E124" s="1" t="n">
        <v>46303</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24201-2026</t>
        </is>
      </c>
      <c r="B125" t="inlineStr">
        <is>
          <t>avverkningsanmälan</t>
        </is>
      </c>
      <c r="C125" t="inlineStr">
        <is>
          <t>Föryngringsavverkning</t>
        </is>
      </c>
      <c r="D125" s="1" t="n">
        <v>46168</v>
      </c>
      <c r="E125" s="1" t="n">
        <v>46303</v>
      </c>
      <c r="F125" t="inlineStr">
        <is>
          <t>VÄSTMANLANDS LÄN</t>
        </is>
      </c>
      <c r="G125" t="inlineStr">
        <is>
          <t>SURAHAMMAR</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5567-2022</t>
        </is>
      </c>
      <c r="B126" t="inlineStr">
        <is>
          <t>avverkningsanmälan</t>
        </is>
      </c>
      <c r="C126" t="inlineStr">
        <is>
          <t>Föryngringsavverkning</t>
        </is>
      </c>
      <c r="D126" s="1" t="n">
        <v>44595</v>
      </c>
      <c r="E126" s="1" t="n">
        <v>46303</v>
      </c>
      <c r="F126" t="inlineStr">
        <is>
          <t>VÄSTMANLANDS LÄN</t>
        </is>
      </c>
      <c r="G126" t="inlineStr">
        <is>
          <t>SURAHAMMAR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4724-2026</t>
        </is>
      </c>
      <c r="B127" t="inlineStr">
        <is>
          <t>avverkningsanmälan</t>
        </is>
      </c>
      <c r="C127" t="inlineStr">
        <is>
          <t>Föryngringsavverkning</t>
        </is>
      </c>
      <c r="D127" s="1" t="n">
        <v>46048</v>
      </c>
      <c r="E127" s="1" t="n">
        <v>46303</v>
      </c>
      <c r="F127" t="inlineStr">
        <is>
          <t>VÄSTMANLANDS LÄN</t>
        </is>
      </c>
      <c r="G127" t="inlineStr">
        <is>
          <t>SURAHAMMAR</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4734-2026</t>
        </is>
      </c>
      <c r="B128" t="inlineStr">
        <is>
          <t>avverkningsanmälan</t>
        </is>
      </c>
      <c r="C128" t="inlineStr">
        <is>
          <t>Föryngringsavverkning</t>
        </is>
      </c>
      <c r="D128" s="1" t="n">
        <v>46048</v>
      </c>
      <c r="E128" s="1" t="n">
        <v>46303</v>
      </c>
      <c r="F128" t="inlineStr">
        <is>
          <t>VÄSTMANLANDS LÄN</t>
        </is>
      </c>
      <c r="G128" t="inlineStr">
        <is>
          <t>SURAHAMMAR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3085-2023</t>
        </is>
      </c>
      <c r="B129" t="inlineStr">
        <is>
          <t>avverkningsanmälan</t>
        </is>
      </c>
      <c r="C129" t="inlineStr">
        <is>
          <t>Föryngringsavverkning</t>
        </is>
      </c>
      <c r="D129" s="1" t="n">
        <v>44946</v>
      </c>
      <c r="E129" s="1" t="n">
        <v>46303</v>
      </c>
      <c r="F129" t="inlineStr">
        <is>
          <t>VÄSTMANLANDS LÄN</t>
        </is>
      </c>
      <c r="G129" t="inlineStr">
        <is>
          <t>SURAHAMMAR</t>
        </is>
      </c>
      <c r="H129" t="inlineStr">
        <is>
          <t>Kyrkan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10244-2026</t>
        </is>
      </c>
      <c r="B130" t="inlineStr">
        <is>
          <t>avverkningsanmälan</t>
        </is>
      </c>
      <c r="C130" t="inlineStr">
        <is>
          <t>Föryngringsavverkning</t>
        </is>
      </c>
      <c r="D130" s="1" t="n">
        <v>46076</v>
      </c>
      <c r="E130" s="1" t="n">
        <v>46303</v>
      </c>
      <c r="F130" t="inlineStr">
        <is>
          <t>VÄSTMANLANDS LÄN</t>
        </is>
      </c>
      <c r="G130" t="inlineStr">
        <is>
          <t>SURAHAMMAR</t>
        </is>
      </c>
      <c r="H130" t="inlineStr">
        <is>
          <t>Allmännings- och besparingsskogar</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10562-2026</t>
        </is>
      </c>
      <c r="B131" t="inlineStr">
        <is>
          <t>avverkningsanmälan</t>
        </is>
      </c>
      <c r="C131" t="inlineStr">
        <is>
          <t>Föryngringsavverkning</t>
        </is>
      </c>
      <c r="D131" s="1" t="n">
        <v>46077</v>
      </c>
      <c r="E131" s="1" t="n">
        <v>46303</v>
      </c>
      <c r="F131" t="inlineStr">
        <is>
          <t>VÄSTMANLANDS LÄN</t>
        </is>
      </c>
      <c r="G131" t="inlineStr">
        <is>
          <t>SURAHAMMAR</t>
        </is>
      </c>
      <c r="H131" t="inlineStr">
        <is>
          <t>Övriga Aktiebolag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22628-2026</t>
        </is>
      </c>
      <c r="B132" t="inlineStr">
        <is>
          <t>avverkningsanmälan</t>
        </is>
      </c>
      <c r="C132" t="inlineStr">
        <is>
          <t>Föryngringsavverkning</t>
        </is>
      </c>
      <c r="D132" s="1" t="n">
        <v>46155</v>
      </c>
      <c r="E132" s="1" t="n">
        <v>46303</v>
      </c>
      <c r="F132" t="inlineStr">
        <is>
          <t>VÄSTMANLANDS LÄN</t>
        </is>
      </c>
      <c r="G132" t="inlineStr">
        <is>
          <t>SURAHAMMAR</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7848-2022</t>
        </is>
      </c>
      <c r="B133" t="inlineStr">
        <is>
          <t>avverkningsanmälan</t>
        </is>
      </c>
      <c r="C133" t="inlineStr">
        <is>
          <t>Föryngringsavverkning</t>
        </is>
      </c>
      <c r="D133" s="1" t="n">
        <v>44608</v>
      </c>
      <c r="E133" s="1" t="n">
        <v>46303</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12841-2026</t>
        </is>
      </c>
      <c r="B134" t="inlineStr">
        <is>
          <t>avverkningsanmälan</t>
        </is>
      </c>
      <c r="C134" t="inlineStr">
        <is>
          <t>Föryngringsavverkning</t>
        </is>
      </c>
      <c r="D134" s="1" t="n">
        <v>46091</v>
      </c>
      <c r="E134" s="1" t="n">
        <v>46303</v>
      </c>
      <c r="F134" t="inlineStr">
        <is>
          <t>VÄSTMANLANDS LÄN</t>
        </is>
      </c>
      <c r="G134" t="inlineStr">
        <is>
          <t>SURAHAMMAR</t>
        </is>
      </c>
      <c r="H134" t="inlineStr">
        <is>
          <t>Bergvik skog väst AB</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15743-2023</t>
        </is>
      </c>
      <c r="B135" t="inlineStr">
        <is>
          <t>avverkningsanmälan</t>
        </is>
      </c>
      <c r="C135" t="inlineStr">
        <is>
          <t>Föryngringsavverkning</t>
        </is>
      </c>
      <c r="D135" s="1" t="n">
        <v>45021</v>
      </c>
      <c r="E135" s="1" t="n">
        <v>46303</v>
      </c>
      <c r="F135" t="inlineStr">
        <is>
          <t>VÄSTMANLANDS LÄN</t>
        </is>
      </c>
      <c r="G135" t="inlineStr">
        <is>
          <t>SURAHAMMAR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31061-2026</t>
        </is>
      </c>
      <c r="B136" t="inlineStr">
        <is>
          <t>avverkningsanmälan</t>
        </is>
      </c>
      <c r="C136" t="inlineStr">
        <is>
          <t>Föryngringsavverkning</t>
        </is>
      </c>
      <c r="D136" s="1" t="n">
        <v>46215</v>
      </c>
      <c r="E136" s="1" t="n">
        <v>46303</v>
      </c>
      <c r="F136" t="inlineStr">
        <is>
          <t>VÄSTMANLANDS LÄN</t>
        </is>
      </c>
      <c r="G136" t="inlineStr">
        <is>
          <t>SURAHAMMAR</t>
        </is>
      </c>
      <c r="H136" t="inlineStr">
        <is>
          <t>Sveaskog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19246-2026</t>
        </is>
      </c>
      <c r="B137" t="inlineStr">
        <is>
          <t>avverkningsanmälan</t>
        </is>
      </c>
      <c r="C137" t="inlineStr">
        <is>
          <t>Avverkning för annat ändamål</t>
        </is>
      </c>
      <c r="D137" s="1" t="n">
        <v>46132</v>
      </c>
      <c r="E137" s="1" t="n">
        <v>46303</v>
      </c>
      <c r="F137" t="inlineStr">
        <is>
          <t>VÄSTMANLANDS LÄN</t>
        </is>
      </c>
      <c r="G137" t="inlineStr">
        <is>
          <t>SURAHAMMAR</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15637-2022</t>
        </is>
      </c>
      <c r="B138" t="inlineStr">
        <is>
          <t>avverkningsanmälan</t>
        </is>
      </c>
      <c r="C138" t="inlineStr">
        <is>
          <t>Föryngringsavverkning</t>
        </is>
      </c>
      <c r="D138" s="1" t="n">
        <v>44662</v>
      </c>
      <c r="E138" s="1" t="n">
        <v>46303</v>
      </c>
      <c r="F138" t="inlineStr">
        <is>
          <t>VÄSTMANLANDS LÄN</t>
        </is>
      </c>
      <c r="G138" t="inlineStr">
        <is>
          <t>SURAHAMMAR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19786-2023</t>
        </is>
      </c>
      <c r="B139" t="inlineStr">
        <is>
          <t>avverkningsanmälan</t>
        </is>
      </c>
      <c r="C139" t="inlineStr">
        <is>
          <t>Föryngringsavverkning</t>
        </is>
      </c>
      <c r="D139" s="1" t="n">
        <v>45050</v>
      </c>
      <c r="E139" s="1" t="n">
        <v>46303</v>
      </c>
      <c r="F139" t="inlineStr">
        <is>
          <t>VÄSTMANLANDS LÄN</t>
        </is>
      </c>
      <c r="G139" t="inlineStr">
        <is>
          <t>SURAHAMMAR</t>
        </is>
      </c>
      <c r="H139" t="inlineStr">
        <is>
          <t>Bergvik skog väst AB</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32223-2026</t>
        </is>
      </c>
      <c r="B140" t="inlineStr">
        <is>
          <t>avverkningsanmälan</t>
        </is>
      </c>
      <c r="C140" t="inlineStr">
        <is>
          <t>Föryngringsavverkning</t>
        </is>
      </c>
      <c r="D140" s="1" t="n">
        <v>46237</v>
      </c>
      <c r="E140" s="1" t="n">
        <v>46303</v>
      </c>
      <c r="F140" t="inlineStr">
        <is>
          <t>VÄSTMANLANDS LÄN</t>
        </is>
      </c>
      <c r="G140" t="inlineStr">
        <is>
          <t>SURAHAMMAR</t>
        </is>
      </c>
      <c r="H140" t="inlineStr">
        <is>
          <t>Allmännings- och besparingsskogar</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32501-2026</t>
        </is>
      </c>
      <c r="B141" t="inlineStr">
        <is>
          <t>avverkningsanmälan</t>
        </is>
      </c>
      <c r="C141" t="inlineStr">
        <is>
          <t>Avverkning för annat ändamål</t>
        </is>
      </c>
      <c r="D141" s="1" t="n">
        <v>46239</v>
      </c>
      <c r="E141" s="1" t="n">
        <v>46303</v>
      </c>
      <c r="F141" t="inlineStr">
        <is>
          <t>VÄSTMANLANDS LÄN</t>
        </is>
      </c>
      <c r="G141" t="inlineStr">
        <is>
          <t>SURAHAMMAR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46303</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37954-2025</t>
        </is>
      </c>
      <c r="B143" t="inlineStr">
        <is>
          <t>avverkningsanmälan</t>
        </is>
      </c>
      <c r="C143" t="inlineStr">
        <is>
          <t>Föryngringsavverkning</t>
        </is>
      </c>
      <c r="D143" s="1" t="n">
        <v>45881</v>
      </c>
      <c r="E143" s="1" t="n">
        <v>46303</v>
      </c>
      <c r="F143" t="inlineStr">
        <is>
          <t>VÄSTMANLANDS LÄN</t>
        </is>
      </c>
      <c r="G143" t="inlineStr">
        <is>
          <t>SURAHAMMAR</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46303</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46303</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46303</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2026-10-08T02:07:45Z</dcterms:created>
  <dcterms:modified xmlns:dcterms="http://purl.org/dc/terms/" xmlns:xsi="http://www.w3.org/2001/XMLSchema-instance" xsi:type="dcterms:W3CDTF">2026-10-08T02:07:45Z</dcterms:modified>
</cp:coreProperties>
</file>