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45887</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45887</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45887</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45887</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45887</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45887</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45887</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45887</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45887</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45887</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45887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45887</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45887</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7791-2024</t>
        </is>
      </c>
      <c r="B17" s="1" t="n">
        <v>45348</v>
      </c>
      <c r="C17" s="1" t="n">
        <v>45887</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45887</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56299-2021</t>
        </is>
      </c>
      <c r="B19" s="1" t="n">
        <v>44477</v>
      </c>
      <c r="C19" s="1" t="n">
        <v>45887</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45887</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45887</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45887</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45887</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45887</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45887</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45887</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45887</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45887</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42708-2022</t>
        </is>
      </c>
      <c r="B29" s="1" t="n">
        <v>44832</v>
      </c>
      <c r="C29" s="1" t="n">
        <v>45887</v>
      </c>
      <c r="D29" t="inlineStr">
        <is>
          <t>VÄSTMANLANDS LÄN</t>
        </is>
      </c>
      <c r="E29" t="inlineStr">
        <is>
          <t>SURAHAMMAR</t>
        </is>
      </c>
      <c r="G29" t="n">
        <v>27.2</v>
      </c>
      <c r="H29" t="n">
        <v>3</v>
      </c>
      <c r="I29" t="n">
        <v>0</v>
      </c>
      <c r="J29" t="n">
        <v>2</v>
      </c>
      <c r="K29" t="n">
        <v>0</v>
      </c>
      <c r="L29" t="n">
        <v>0</v>
      </c>
      <c r="M29" t="n">
        <v>0</v>
      </c>
      <c r="N29" t="n">
        <v>0</v>
      </c>
      <c r="O29" t="n">
        <v>2</v>
      </c>
      <c r="P29" t="n">
        <v>0</v>
      </c>
      <c r="Q29" t="n">
        <v>3</v>
      </c>
      <c r="R29" s="2" t="inlineStr">
        <is>
          <t>Entita
Spillkråka
Blåsippa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29707-2025</t>
        </is>
      </c>
      <c r="B30" s="1" t="n">
        <v>45825.56100694444</v>
      </c>
      <c r="C30" s="1" t="n">
        <v>45887</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49718-2023</t>
        </is>
      </c>
      <c r="B31" s="1" t="n">
        <v>45212</v>
      </c>
      <c r="C31" s="1" t="n">
        <v>45887</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8552-2022</t>
        </is>
      </c>
      <c r="B32" s="1" t="n">
        <v>44613</v>
      </c>
      <c r="C32" s="1" t="n">
        <v>45887</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48128-2023</t>
        </is>
      </c>
      <c r="B33" s="1" t="n">
        <v>45205</v>
      </c>
      <c r="C33" s="1" t="n">
        <v>45887</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42853-2022</t>
        </is>
      </c>
      <c r="B34" s="1" t="n">
        <v>44832</v>
      </c>
      <c r="C34" s="1" t="n">
        <v>45887</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45887</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45887</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45887</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45887</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37800-2021</t>
        </is>
      </c>
      <c r="B39" s="1" t="n">
        <v>44402</v>
      </c>
      <c r="C39" s="1" t="n">
        <v>45887</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41204-2023</t>
        </is>
      </c>
      <c r="B40" s="1" t="n">
        <v>45174</v>
      </c>
      <c r="C40" s="1" t="n">
        <v>45887</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45887</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45887</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45887</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45887</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21716-2025</t>
        </is>
      </c>
      <c r="B45" s="1" t="n">
        <v>45783.54804398148</v>
      </c>
      <c r="C45" s="1" t="n">
        <v>45887</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25583-2024</t>
        </is>
      </c>
      <c r="B46" s="1" t="n">
        <v>45463</v>
      </c>
      <c r="C46" s="1" t="n">
        <v>45887</v>
      </c>
      <c r="D46" t="inlineStr">
        <is>
          <t>VÄSTMANLANDS LÄN</t>
        </is>
      </c>
      <c r="E46" t="inlineStr">
        <is>
          <t>SURAHAMMAR</t>
        </is>
      </c>
      <c r="F46" t="inlineStr">
        <is>
          <t>Bergvik skog väst AB</t>
        </is>
      </c>
      <c r="G46" t="n">
        <v>7.8</v>
      </c>
      <c r="H46" t="n">
        <v>1</v>
      </c>
      <c r="I46" t="n">
        <v>0</v>
      </c>
      <c r="J46" t="n">
        <v>0</v>
      </c>
      <c r="K46" t="n">
        <v>0</v>
      </c>
      <c r="L46" t="n">
        <v>0</v>
      </c>
      <c r="M46" t="n">
        <v>0</v>
      </c>
      <c r="N46" t="n">
        <v>0</v>
      </c>
      <c r="O46" t="n">
        <v>0</v>
      </c>
      <c r="P46" t="n">
        <v>0</v>
      </c>
      <c r="Q46" t="n">
        <v>1</v>
      </c>
      <c r="R46" s="2" t="inlineStr">
        <is>
          <t>Blåsippa</t>
        </is>
      </c>
      <c r="S46">
        <f>HYPERLINK("https://klasma.github.io/Logging_1907/artfynd/A 25583-2024 artfynd.xlsx", "A 25583-2024")</f>
        <v/>
      </c>
      <c r="T46">
        <f>HYPERLINK("https://klasma.github.io/Logging_1907/kartor/A 25583-2024 karta.png", "A 25583-2024")</f>
        <v/>
      </c>
      <c r="V46">
        <f>HYPERLINK("https://klasma.github.io/Logging_1907/klagomål/A 25583-2024 FSC-klagomål.docx", "A 25583-2024")</f>
        <v/>
      </c>
      <c r="W46">
        <f>HYPERLINK("https://klasma.github.io/Logging_1907/klagomålsmail/A 25583-2024 FSC-klagomål mail.docx", "A 25583-2024")</f>
        <v/>
      </c>
      <c r="X46">
        <f>HYPERLINK("https://klasma.github.io/Logging_1907/tillsyn/A 25583-2024 tillsynsbegäran.docx", "A 25583-2024")</f>
        <v/>
      </c>
      <c r="Y46">
        <f>HYPERLINK("https://klasma.github.io/Logging_1907/tillsynsmail/A 25583-2024 tillsynsbegäran mail.docx", "A 25583-2024")</f>
        <v/>
      </c>
    </row>
    <row r="47" ht="15" customHeight="1">
      <c r="A47" t="inlineStr">
        <is>
          <t>A 13971-2023</t>
        </is>
      </c>
      <c r="B47" s="1" t="n">
        <v>45007</v>
      </c>
      <c r="C47" s="1" t="n">
        <v>45887</v>
      </c>
      <c r="D47" t="inlineStr">
        <is>
          <t>VÄSTMANLANDS LÄN</t>
        </is>
      </c>
      <c r="E47" t="inlineStr">
        <is>
          <t>SURAHAMMAR</t>
        </is>
      </c>
      <c r="F47" t="inlineStr">
        <is>
          <t>Bergvik skog väst AB</t>
        </is>
      </c>
      <c r="G47" t="n">
        <v>2.9</v>
      </c>
      <c r="H47" t="n">
        <v>1</v>
      </c>
      <c r="I47" t="n">
        <v>0</v>
      </c>
      <c r="J47" t="n">
        <v>0</v>
      </c>
      <c r="K47" t="n">
        <v>0</v>
      </c>
      <c r="L47" t="n">
        <v>0</v>
      </c>
      <c r="M47" t="n">
        <v>0</v>
      </c>
      <c r="N47" t="n">
        <v>0</v>
      </c>
      <c r="O47" t="n">
        <v>0</v>
      </c>
      <c r="P47" t="n">
        <v>0</v>
      </c>
      <c r="Q47" t="n">
        <v>1</v>
      </c>
      <c r="R47" s="2" t="inlineStr">
        <is>
          <t>Fläcknycklar</t>
        </is>
      </c>
      <c r="S47">
        <f>HYPERLINK("https://klasma.github.io/Logging_1907/artfynd/A 13971-2023 artfynd.xlsx", "A 13971-2023")</f>
        <v/>
      </c>
      <c r="T47">
        <f>HYPERLINK("https://klasma.github.io/Logging_1907/kartor/A 13971-2023 karta.png", "A 13971-2023")</f>
        <v/>
      </c>
      <c r="V47">
        <f>HYPERLINK("https://klasma.github.io/Logging_1907/klagomål/A 13971-2023 FSC-klagomål.docx", "A 13971-2023")</f>
        <v/>
      </c>
      <c r="W47">
        <f>HYPERLINK("https://klasma.github.io/Logging_1907/klagomålsmail/A 13971-2023 FSC-klagomål mail.docx", "A 13971-2023")</f>
        <v/>
      </c>
      <c r="X47">
        <f>HYPERLINK("https://klasma.github.io/Logging_1907/tillsyn/A 13971-2023 tillsynsbegäran.docx", "A 13971-2023")</f>
        <v/>
      </c>
      <c r="Y47">
        <f>HYPERLINK("https://klasma.github.io/Logging_1907/tillsynsmail/A 13971-2023 tillsynsbegäran mail.docx", "A 13971-2023")</f>
        <v/>
      </c>
    </row>
    <row r="48" ht="15" customHeight="1">
      <c r="A48" t="inlineStr">
        <is>
          <t>A 42765-2022</t>
        </is>
      </c>
      <c r="B48" s="1" t="n">
        <v>44832</v>
      </c>
      <c r="C48" s="1" t="n">
        <v>45887</v>
      </c>
      <c r="D48" t="inlineStr">
        <is>
          <t>VÄSTMANLANDS LÄN</t>
        </is>
      </c>
      <c r="E48" t="inlineStr">
        <is>
          <t>SURAHAMMAR</t>
        </is>
      </c>
      <c r="G48" t="n">
        <v>1.8</v>
      </c>
      <c r="H48" t="n">
        <v>1</v>
      </c>
      <c r="I48" t="n">
        <v>0</v>
      </c>
      <c r="J48" t="n">
        <v>0</v>
      </c>
      <c r="K48" t="n">
        <v>0</v>
      </c>
      <c r="L48" t="n">
        <v>0</v>
      </c>
      <c r="M48" t="n">
        <v>0</v>
      </c>
      <c r="N48" t="n">
        <v>0</v>
      </c>
      <c r="O48" t="n">
        <v>0</v>
      </c>
      <c r="P48" t="n">
        <v>0</v>
      </c>
      <c r="Q48" t="n">
        <v>1</v>
      </c>
      <c r="R48" s="2" t="inlineStr">
        <is>
          <t>Blåsippa</t>
        </is>
      </c>
      <c r="S48">
        <f>HYPERLINK("https://klasma.github.io/Logging_1907/artfynd/A 42765-2022 artfynd.xlsx", "A 42765-2022")</f>
        <v/>
      </c>
      <c r="T48">
        <f>HYPERLINK("https://klasma.github.io/Logging_1907/kartor/A 42765-2022 karta.png", "A 42765-2022")</f>
        <v/>
      </c>
      <c r="V48">
        <f>HYPERLINK("https://klasma.github.io/Logging_1907/klagomål/A 42765-2022 FSC-klagomål.docx", "A 42765-2022")</f>
        <v/>
      </c>
      <c r="W48">
        <f>HYPERLINK("https://klasma.github.io/Logging_1907/klagomålsmail/A 42765-2022 FSC-klagomål mail.docx", "A 42765-2022")</f>
        <v/>
      </c>
      <c r="X48">
        <f>HYPERLINK("https://klasma.github.io/Logging_1907/tillsyn/A 42765-2022 tillsynsbegäran.docx", "A 42765-2022")</f>
        <v/>
      </c>
      <c r="Y48">
        <f>HYPERLINK("https://klasma.github.io/Logging_1907/tillsynsmail/A 42765-2022 tillsynsbegäran mail.docx", "A 42765-2022")</f>
        <v/>
      </c>
    </row>
    <row r="49" ht="15" customHeight="1">
      <c r="A49" t="inlineStr">
        <is>
          <t>A 44356-2024</t>
        </is>
      </c>
      <c r="B49" s="1" t="n">
        <v>45573</v>
      </c>
      <c r="C49" s="1" t="n">
        <v>45887</v>
      </c>
      <c r="D49" t="inlineStr">
        <is>
          <t>VÄSTMANLANDS LÄN</t>
        </is>
      </c>
      <c r="E49" t="inlineStr">
        <is>
          <t>SURAHAMMAR</t>
        </is>
      </c>
      <c r="F49" t="inlineStr">
        <is>
          <t>Sveaskog</t>
        </is>
      </c>
      <c r="G49" t="n">
        <v>0.7</v>
      </c>
      <c r="H49" t="n">
        <v>1</v>
      </c>
      <c r="I49" t="n">
        <v>0</v>
      </c>
      <c r="J49" t="n">
        <v>0</v>
      </c>
      <c r="K49" t="n">
        <v>0</v>
      </c>
      <c r="L49" t="n">
        <v>0</v>
      </c>
      <c r="M49" t="n">
        <v>0</v>
      </c>
      <c r="N49" t="n">
        <v>0</v>
      </c>
      <c r="O49" t="n">
        <v>0</v>
      </c>
      <c r="P49" t="n">
        <v>0</v>
      </c>
      <c r="Q49" t="n">
        <v>1</v>
      </c>
      <c r="R49" s="2" t="inlineStr">
        <is>
          <t>Revlummer</t>
        </is>
      </c>
      <c r="S49">
        <f>HYPERLINK("https://klasma.github.io/Logging_1907/artfynd/A 44356-2024 artfynd.xlsx", "A 44356-2024")</f>
        <v/>
      </c>
      <c r="T49">
        <f>HYPERLINK("https://klasma.github.io/Logging_1907/kartor/A 44356-2024 karta.png", "A 44356-2024")</f>
        <v/>
      </c>
      <c r="V49">
        <f>HYPERLINK("https://klasma.github.io/Logging_1907/klagomål/A 44356-2024 FSC-klagomål.docx", "A 44356-2024")</f>
        <v/>
      </c>
      <c r="W49">
        <f>HYPERLINK("https://klasma.github.io/Logging_1907/klagomålsmail/A 44356-2024 FSC-klagomål mail.docx", "A 44356-2024")</f>
        <v/>
      </c>
      <c r="X49">
        <f>HYPERLINK("https://klasma.github.io/Logging_1907/tillsyn/A 44356-2024 tillsynsbegäran.docx", "A 44356-2024")</f>
        <v/>
      </c>
      <c r="Y49">
        <f>HYPERLINK("https://klasma.github.io/Logging_1907/tillsynsmail/A 44356-2024 tillsynsbegäran mail.docx", "A 44356-2024")</f>
        <v/>
      </c>
    </row>
    <row r="50" ht="15" customHeight="1">
      <c r="A50" t="inlineStr">
        <is>
          <t>A 13788-2025</t>
        </is>
      </c>
      <c r="B50" s="1" t="n">
        <v>45737.45327546296</v>
      </c>
      <c r="C50" s="1" t="n">
        <v>45887</v>
      </c>
      <c r="D50" t="inlineStr">
        <is>
          <t>VÄSTMANLANDS LÄN</t>
        </is>
      </c>
      <c r="E50" t="inlineStr">
        <is>
          <t>SURAHAMMAR</t>
        </is>
      </c>
      <c r="G50" t="n">
        <v>9.699999999999999</v>
      </c>
      <c r="H50" t="n">
        <v>1</v>
      </c>
      <c r="I50" t="n">
        <v>0</v>
      </c>
      <c r="J50" t="n">
        <v>0</v>
      </c>
      <c r="K50" t="n">
        <v>0</v>
      </c>
      <c r="L50" t="n">
        <v>0</v>
      </c>
      <c r="M50" t="n">
        <v>0</v>
      </c>
      <c r="N50" t="n">
        <v>0</v>
      </c>
      <c r="O50" t="n">
        <v>0</v>
      </c>
      <c r="P50" t="n">
        <v>0</v>
      </c>
      <c r="Q50" t="n">
        <v>1</v>
      </c>
      <c r="R50" s="2" t="inlineStr">
        <is>
          <t>Sparvuggla</t>
        </is>
      </c>
      <c r="S50">
        <f>HYPERLINK("https://klasma.github.io/Logging_1907/artfynd/A 13788-2025 artfynd.xlsx", "A 13788-2025")</f>
        <v/>
      </c>
      <c r="T50">
        <f>HYPERLINK("https://klasma.github.io/Logging_1907/kartor/A 13788-2025 karta.png", "A 13788-2025")</f>
        <v/>
      </c>
      <c r="V50">
        <f>HYPERLINK("https://klasma.github.io/Logging_1907/klagomål/A 13788-2025 FSC-klagomål.docx", "A 13788-2025")</f>
        <v/>
      </c>
      <c r="W50">
        <f>HYPERLINK("https://klasma.github.io/Logging_1907/klagomålsmail/A 13788-2025 FSC-klagomål mail.docx", "A 13788-2025")</f>
        <v/>
      </c>
      <c r="X50">
        <f>HYPERLINK("https://klasma.github.io/Logging_1907/tillsyn/A 13788-2025 tillsynsbegäran.docx", "A 13788-2025")</f>
        <v/>
      </c>
      <c r="Y50">
        <f>HYPERLINK("https://klasma.github.io/Logging_1907/tillsynsmail/A 13788-2025 tillsynsbegäran mail.docx", "A 13788-2025")</f>
        <v/>
      </c>
      <c r="Z50">
        <f>HYPERLINK("https://klasma.github.io/Logging_1907/fåglar/A 13788-2025 prioriterade fågelarter.docx", "A 13788-2025")</f>
        <v/>
      </c>
    </row>
    <row r="51" ht="15" customHeight="1">
      <c r="A51" t="inlineStr">
        <is>
          <t>A 39099-2022</t>
        </is>
      </c>
      <c r="B51" s="1" t="n">
        <v>44817</v>
      </c>
      <c r="C51" s="1" t="n">
        <v>45887</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69777-2021</t>
        </is>
      </c>
      <c r="B52" s="1" t="n">
        <v>44532</v>
      </c>
      <c r="C52" s="1" t="n">
        <v>45887</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45887</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17632-2022</t>
        </is>
      </c>
      <c r="B54" s="1" t="n">
        <v>44680</v>
      </c>
      <c r="C54" s="1" t="n">
        <v>45887</v>
      </c>
      <c r="D54" t="inlineStr">
        <is>
          <t>VÄSTMANLANDS LÄN</t>
        </is>
      </c>
      <c r="E54" t="inlineStr">
        <is>
          <t>SURAHAMMAR</t>
        </is>
      </c>
      <c r="G54" t="n">
        <v>5.2</v>
      </c>
      <c r="H54" t="n">
        <v>0</v>
      </c>
      <c r="I54" t="n">
        <v>1</v>
      </c>
      <c r="J54" t="n">
        <v>0</v>
      </c>
      <c r="K54" t="n">
        <v>0</v>
      </c>
      <c r="L54" t="n">
        <v>0</v>
      </c>
      <c r="M54" t="n">
        <v>0</v>
      </c>
      <c r="N54" t="n">
        <v>0</v>
      </c>
      <c r="O54" t="n">
        <v>0</v>
      </c>
      <c r="P54" t="n">
        <v>0</v>
      </c>
      <c r="Q54" t="n">
        <v>1</v>
      </c>
      <c r="R54" s="2" t="inlineStr">
        <is>
          <t>Blodticka</t>
        </is>
      </c>
      <c r="S54">
        <f>HYPERLINK("https://klasma.github.io/Logging_1907/artfynd/A 17632-2022 artfynd.xlsx", "A 17632-2022")</f>
        <v/>
      </c>
      <c r="T54">
        <f>HYPERLINK("https://klasma.github.io/Logging_1907/kartor/A 17632-2022 karta.png", "A 17632-2022")</f>
        <v/>
      </c>
      <c r="V54">
        <f>HYPERLINK("https://klasma.github.io/Logging_1907/klagomål/A 17632-2022 FSC-klagomål.docx", "A 17632-2022")</f>
        <v/>
      </c>
      <c r="W54">
        <f>HYPERLINK("https://klasma.github.io/Logging_1907/klagomålsmail/A 17632-2022 FSC-klagomål mail.docx", "A 17632-2022")</f>
        <v/>
      </c>
      <c r="X54">
        <f>HYPERLINK("https://klasma.github.io/Logging_1907/tillsyn/A 17632-2022 tillsynsbegäran.docx", "A 17632-2022")</f>
        <v/>
      </c>
      <c r="Y54">
        <f>HYPERLINK("https://klasma.github.io/Logging_1907/tillsynsmail/A 17632-2022 tillsynsbegäran mail.docx", "A 17632-2022")</f>
        <v/>
      </c>
    </row>
    <row r="55" ht="15" customHeight="1">
      <c r="A55" t="inlineStr">
        <is>
          <t>A 47453-2024</t>
        </is>
      </c>
      <c r="B55" s="1" t="n">
        <v>45587.55017361111</v>
      </c>
      <c r="C55" s="1" t="n">
        <v>45887</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10819-2024</t>
        </is>
      </c>
      <c r="B56" s="1" t="n">
        <v>45369.66049768519</v>
      </c>
      <c r="C56" s="1" t="n">
        <v>45887</v>
      </c>
      <c r="D56" t="inlineStr">
        <is>
          <t>VÄSTMANLANDS LÄN</t>
        </is>
      </c>
      <c r="E56" t="inlineStr">
        <is>
          <t>SURAHAMMAR</t>
        </is>
      </c>
      <c r="G56" t="n">
        <v>2</v>
      </c>
      <c r="H56" t="n">
        <v>0</v>
      </c>
      <c r="I56" t="n">
        <v>1</v>
      </c>
      <c r="J56" t="n">
        <v>0</v>
      </c>
      <c r="K56" t="n">
        <v>0</v>
      </c>
      <c r="L56" t="n">
        <v>0</v>
      </c>
      <c r="M56" t="n">
        <v>0</v>
      </c>
      <c r="N56" t="n">
        <v>0</v>
      </c>
      <c r="O56" t="n">
        <v>0</v>
      </c>
      <c r="P56" t="n">
        <v>0</v>
      </c>
      <c r="Q56" t="n">
        <v>1</v>
      </c>
      <c r="R56" s="2" t="inlineStr">
        <is>
          <t>Tibast</t>
        </is>
      </c>
      <c r="S56">
        <f>HYPERLINK("https://klasma.github.io/Logging_1907/artfynd/A 10819-2024 artfynd.xlsx", "A 10819-2024")</f>
        <v/>
      </c>
      <c r="T56">
        <f>HYPERLINK("https://klasma.github.io/Logging_1907/kartor/A 10819-2024 karta.png", "A 10819-2024")</f>
        <v/>
      </c>
      <c r="V56">
        <f>HYPERLINK("https://klasma.github.io/Logging_1907/klagomål/A 10819-2024 FSC-klagomål.docx", "A 10819-2024")</f>
        <v/>
      </c>
      <c r="W56">
        <f>HYPERLINK("https://klasma.github.io/Logging_1907/klagomålsmail/A 10819-2024 FSC-klagomål mail.docx", "A 10819-2024")</f>
        <v/>
      </c>
      <c r="X56">
        <f>HYPERLINK("https://klasma.github.io/Logging_1907/tillsyn/A 10819-2024 tillsynsbegäran.docx", "A 10819-2024")</f>
        <v/>
      </c>
      <c r="Y56">
        <f>HYPERLINK("https://klasma.github.io/Logging_1907/tillsynsmail/A 10819-2024 tillsynsbegäran mail.docx", "A 10819-2024")</f>
        <v/>
      </c>
    </row>
    <row r="57" ht="15" customHeight="1">
      <c r="A57" t="inlineStr">
        <is>
          <t>A 22840-2023</t>
        </is>
      </c>
      <c r="B57" s="1" t="n">
        <v>45072</v>
      </c>
      <c r="C57" s="1" t="n">
        <v>45887</v>
      </c>
      <c r="D57" t="inlineStr">
        <is>
          <t>VÄSTMANLANDS LÄN</t>
        </is>
      </c>
      <c r="E57" t="inlineStr">
        <is>
          <t>SURAHAMMAR</t>
        </is>
      </c>
      <c r="G57" t="n">
        <v>4.3</v>
      </c>
      <c r="H57" t="n">
        <v>1</v>
      </c>
      <c r="I57" t="n">
        <v>0</v>
      </c>
      <c r="J57" t="n">
        <v>0</v>
      </c>
      <c r="K57" t="n">
        <v>0</v>
      </c>
      <c r="L57" t="n">
        <v>0</v>
      </c>
      <c r="M57" t="n">
        <v>0</v>
      </c>
      <c r="N57" t="n">
        <v>0</v>
      </c>
      <c r="O57" t="n">
        <v>0</v>
      </c>
      <c r="P57" t="n">
        <v>0</v>
      </c>
      <c r="Q57" t="n">
        <v>1</v>
      </c>
      <c r="R57" s="2" t="inlineStr">
        <is>
          <t>Fläcknycklar</t>
        </is>
      </c>
      <c r="S57">
        <f>HYPERLINK("https://klasma.github.io/Logging_1907/artfynd/A 22840-2023 artfynd.xlsx", "A 22840-2023")</f>
        <v/>
      </c>
      <c r="T57">
        <f>HYPERLINK("https://klasma.github.io/Logging_1907/kartor/A 22840-2023 karta.png", "A 22840-2023")</f>
        <v/>
      </c>
      <c r="V57">
        <f>HYPERLINK("https://klasma.github.io/Logging_1907/klagomål/A 22840-2023 FSC-klagomål.docx", "A 22840-2023")</f>
        <v/>
      </c>
      <c r="W57">
        <f>HYPERLINK("https://klasma.github.io/Logging_1907/klagomålsmail/A 22840-2023 FSC-klagomål mail.docx", "A 22840-2023")</f>
        <v/>
      </c>
      <c r="X57">
        <f>HYPERLINK("https://klasma.github.io/Logging_1907/tillsyn/A 22840-2023 tillsynsbegäran.docx", "A 22840-2023")</f>
        <v/>
      </c>
      <c r="Y57">
        <f>HYPERLINK("https://klasma.github.io/Logging_1907/tillsynsmail/A 22840-2023 tillsynsbegäran mail.docx", "A 22840-2023")</f>
        <v/>
      </c>
    </row>
    <row r="58" ht="15" customHeight="1">
      <c r="A58" t="inlineStr">
        <is>
          <t>A 62097-2024</t>
        </is>
      </c>
      <c r="B58" s="1" t="n">
        <v>45646</v>
      </c>
      <c r="C58" s="1" t="n">
        <v>45887</v>
      </c>
      <c r="D58" t="inlineStr">
        <is>
          <t>VÄSTMANLANDS LÄN</t>
        </is>
      </c>
      <c r="E58" t="inlineStr">
        <is>
          <t>SURAHAMMAR</t>
        </is>
      </c>
      <c r="F58" t="inlineStr">
        <is>
          <t>Bergvik skog väst AB</t>
        </is>
      </c>
      <c r="G58" t="n">
        <v>21.7</v>
      </c>
      <c r="H58" t="n">
        <v>1</v>
      </c>
      <c r="I58" t="n">
        <v>0</v>
      </c>
      <c r="J58" t="n">
        <v>0</v>
      </c>
      <c r="K58" t="n">
        <v>0</v>
      </c>
      <c r="L58" t="n">
        <v>0</v>
      </c>
      <c r="M58" t="n">
        <v>0</v>
      </c>
      <c r="N58" t="n">
        <v>0</v>
      </c>
      <c r="O58" t="n">
        <v>0</v>
      </c>
      <c r="P58" t="n">
        <v>0</v>
      </c>
      <c r="Q58" t="n">
        <v>1</v>
      </c>
      <c r="R58" s="2" t="inlineStr">
        <is>
          <t>Revlummer</t>
        </is>
      </c>
      <c r="S58">
        <f>HYPERLINK("https://klasma.github.io/Logging_1907/artfynd/A 62097-2024 artfynd.xlsx", "A 62097-2024")</f>
        <v/>
      </c>
      <c r="T58">
        <f>HYPERLINK("https://klasma.github.io/Logging_1907/kartor/A 62097-2024 karta.png", "A 62097-2024")</f>
        <v/>
      </c>
      <c r="V58">
        <f>HYPERLINK("https://klasma.github.io/Logging_1907/klagomål/A 62097-2024 FSC-klagomål.docx", "A 62097-2024")</f>
        <v/>
      </c>
      <c r="W58">
        <f>HYPERLINK("https://klasma.github.io/Logging_1907/klagomålsmail/A 62097-2024 FSC-klagomål mail.docx", "A 62097-2024")</f>
        <v/>
      </c>
      <c r="X58">
        <f>HYPERLINK("https://klasma.github.io/Logging_1907/tillsyn/A 62097-2024 tillsynsbegäran.docx", "A 62097-2024")</f>
        <v/>
      </c>
      <c r="Y58">
        <f>HYPERLINK("https://klasma.github.io/Logging_1907/tillsynsmail/A 62097-2024 tillsynsbegäran mail.docx", "A 62097-2024")</f>
        <v/>
      </c>
    </row>
    <row r="59" ht="15" customHeight="1">
      <c r="A59" t="inlineStr">
        <is>
          <t>A 45735-2024</t>
        </is>
      </c>
      <c r="B59" s="1" t="n">
        <v>45579</v>
      </c>
      <c r="C59" s="1" t="n">
        <v>45887</v>
      </c>
      <c r="D59" t="inlineStr">
        <is>
          <t>VÄSTMANLANDS LÄN</t>
        </is>
      </c>
      <c r="E59" t="inlineStr">
        <is>
          <t>SURAHAMMAR</t>
        </is>
      </c>
      <c r="F59" t="inlineStr">
        <is>
          <t>Sveaskog</t>
        </is>
      </c>
      <c r="G59" t="n">
        <v>13.5</v>
      </c>
      <c r="H59" t="n">
        <v>1</v>
      </c>
      <c r="I59" t="n">
        <v>0</v>
      </c>
      <c r="J59" t="n">
        <v>0</v>
      </c>
      <c r="K59" t="n">
        <v>0</v>
      </c>
      <c r="L59" t="n">
        <v>0</v>
      </c>
      <c r="M59" t="n">
        <v>0</v>
      </c>
      <c r="N59" t="n">
        <v>0</v>
      </c>
      <c r="O59" t="n">
        <v>0</v>
      </c>
      <c r="P59" t="n">
        <v>0</v>
      </c>
      <c r="Q59" t="n">
        <v>1</v>
      </c>
      <c r="R59" s="2" t="inlineStr">
        <is>
          <t>Revlummer</t>
        </is>
      </c>
      <c r="S59">
        <f>HYPERLINK("https://klasma.github.io/Logging_1907/artfynd/A 45735-2024 artfynd.xlsx", "A 45735-2024")</f>
        <v/>
      </c>
      <c r="T59">
        <f>HYPERLINK("https://klasma.github.io/Logging_1907/kartor/A 45735-2024 karta.png", "A 45735-2024")</f>
        <v/>
      </c>
      <c r="V59">
        <f>HYPERLINK("https://klasma.github.io/Logging_1907/klagomål/A 45735-2024 FSC-klagomål.docx", "A 45735-2024")</f>
        <v/>
      </c>
      <c r="W59">
        <f>HYPERLINK("https://klasma.github.io/Logging_1907/klagomålsmail/A 45735-2024 FSC-klagomål mail.docx", "A 45735-2024")</f>
        <v/>
      </c>
      <c r="X59">
        <f>HYPERLINK("https://klasma.github.io/Logging_1907/tillsyn/A 45735-2024 tillsynsbegäran.docx", "A 45735-2024")</f>
        <v/>
      </c>
      <c r="Y59">
        <f>HYPERLINK("https://klasma.github.io/Logging_1907/tillsynsmail/A 45735-2024 tillsynsbegäran mail.docx", "A 45735-2024")</f>
        <v/>
      </c>
    </row>
    <row r="60" ht="15" customHeight="1">
      <c r="A60" t="inlineStr">
        <is>
          <t>A 44355-2024</t>
        </is>
      </c>
      <c r="B60" s="1" t="n">
        <v>45573</v>
      </c>
      <c r="C60" s="1" t="n">
        <v>45887</v>
      </c>
      <c r="D60" t="inlineStr">
        <is>
          <t>VÄSTMANLANDS LÄN</t>
        </is>
      </c>
      <c r="E60" t="inlineStr">
        <is>
          <t>SURAHAMMAR</t>
        </is>
      </c>
      <c r="F60" t="inlineStr">
        <is>
          <t>Sveaskog</t>
        </is>
      </c>
      <c r="G60" t="n">
        <v>3.5</v>
      </c>
      <c r="H60" t="n">
        <v>1</v>
      </c>
      <c r="I60" t="n">
        <v>0</v>
      </c>
      <c r="J60" t="n">
        <v>0</v>
      </c>
      <c r="K60" t="n">
        <v>0</v>
      </c>
      <c r="L60" t="n">
        <v>0</v>
      </c>
      <c r="M60" t="n">
        <v>0</v>
      </c>
      <c r="N60" t="n">
        <v>0</v>
      </c>
      <c r="O60" t="n">
        <v>0</v>
      </c>
      <c r="P60" t="n">
        <v>0</v>
      </c>
      <c r="Q60" t="n">
        <v>1</v>
      </c>
      <c r="R60" s="2" t="inlineStr">
        <is>
          <t>Revlummer</t>
        </is>
      </c>
      <c r="S60">
        <f>HYPERLINK("https://klasma.github.io/Logging_1907/artfynd/A 44355-2024 artfynd.xlsx", "A 44355-2024")</f>
        <v/>
      </c>
      <c r="T60">
        <f>HYPERLINK("https://klasma.github.io/Logging_1907/kartor/A 44355-2024 karta.png", "A 44355-2024")</f>
        <v/>
      </c>
      <c r="V60">
        <f>HYPERLINK("https://klasma.github.io/Logging_1907/klagomål/A 44355-2024 FSC-klagomål.docx", "A 44355-2024")</f>
        <v/>
      </c>
      <c r="W60">
        <f>HYPERLINK("https://klasma.github.io/Logging_1907/klagomålsmail/A 44355-2024 FSC-klagomål mail.docx", "A 44355-2024")</f>
        <v/>
      </c>
      <c r="X60">
        <f>HYPERLINK("https://klasma.github.io/Logging_1907/tillsyn/A 44355-2024 tillsynsbegäran.docx", "A 44355-2024")</f>
        <v/>
      </c>
      <c r="Y60">
        <f>HYPERLINK("https://klasma.github.io/Logging_1907/tillsynsmail/A 44355-2024 tillsynsbegäran mail.docx", "A 44355-2024")</f>
        <v/>
      </c>
    </row>
    <row r="61" ht="15" customHeight="1">
      <c r="A61" t="inlineStr">
        <is>
          <t>A 40411-2021</t>
        </is>
      </c>
      <c r="B61" s="1" t="n">
        <v>44419</v>
      </c>
      <c r="C61" s="1" t="n">
        <v>45887</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33231-2024</t>
        </is>
      </c>
      <c r="B62" s="1" t="n">
        <v>45518</v>
      </c>
      <c r="C62" s="1" t="n">
        <v>45887</v>
      </c>
      <c r="D62" t="inlineStr">
        <is>
          <t>VÄSTMANLANDS LÄN</t>
        </is>
      </c>
      <c r="E62" t="inlineStr">
        <is>
          <t>SURAHAMMAR</t>
        </is>
      </c>
      <c r="F62" t="inlineStr">
        <is>
          <t>Bergvik skog väst AB</t>
        </is>
      </c>
      <c r="G62" t="n">
        <v>1.5</v>
      </c>
      <c r="H62" t="n">
        <v>1</v>
      </c>
      <c r="I62" t="n">
        <v>0</v>
      </c>
      <c r="J62" t="n">
        <v>0</v>
      </c>
      <c r="K62" t="n">
        <v>0</v>
      </c>
      <c r="L62" t="n">
        <v>0</v>
      </c>
      <c r="M62" t="n">
        <v>0</v>
      </c>
      <c r="N62" t="n">
        <v>0</v>
      </c>
      <c r="O62" t="n">
        <v>0</v>
      </c>
      <c r="P62" t="n">
        <v>0</v>
      </c>
      <c r="Q62" t="n">
        <v>1</v>
      </c>
      <c r="R62" s="2" t="inlineStr">
        <is>
          <t>Mindre vattensalamander</t>
        </is>
      </c>
      <c r="S62">
        <f>HYPERLINK("https://klasma.github.io/Logging_1907/artfynd/A 33231-2024 artfynd.xlsx", "A 33231-2024")</f>
        <v/>
      </c>
      <c r="T62">
        <f>HYPERLINK("https://klasma.github.io/Logging_1907/kartor/A 33231-2024 karta.png", "A 33231-2024")</f>
        <v/>
      </c>
      <c r="V62">
        <f>HYPERLINK("https://klasma.github.io/Logging_1907/klagomål/A 33231-2024 FSC-klagomål.docx", "A 33231-2024")</f>
        <v/>
      </c>
      <c r="W62">
        <f>HYPERLINK("https://klasma.github.io/Logging_1907/klagomålsmail/A 33231-2024 FSC-klagomål mail.docx", "A 33231-2024")</f>
        <v/>
      </c>
      <c r="X62">
        <f>HYPERLINK("https://klasma.github.io/Logging_1907/tillsyn/A 33231-2024 tillsynsbegäran.docx", "A 33231-2024")</f>
        <v/>
      </c>
      <c r="Y62">
        <f>HYPERLINK("https://klasma.github.io/Logging_1907/tillsynsmail/A 33231-2024 tillsynsbegäran mail.docx", "A 33231-2024")</f>
        <v/>
      </c>
    </row>
    <row r="63" ht="15" customHeight="1">
      <c r="A63" t="inlineStr">
        <is>
          <t>A 30074-2023</t>
        </is>
      </c>
      <c r="B63" s="1" t="n">
        <v>45110</v>
      </c>
      <c r="C63" s="1" t="n">
        <v>45887</v>
      </c>
      <c r="D63" t="inlineStr">
        <is>
          <t>VÄSTMANLANDS LÄN</t>
        </is>
      </c>
      <c r="E63" t="inlineStr">
        <is>
          <t>SURAHAMMAR</t>
        </is>
      </c>
      <c r="F63" t="inlineStr">
        <is>
          <t>Sveaskog</t>
        </is>
      </c>
      <c r="G63" t="n">
        <v>1.1</v>
      </c>
      <c r="H63" t="n">
        <v>1</v>
      </c>
      <c r="I63" t="n">
        <v>0</v>
      </c>
      <c r="J63" t="n">
        <v>0</v>
      </c>
      <c r="K63" t="n">
        <v>0</v>
      </c>
      <c r="L63" t="n">
        <v>0</v>
      </c>
      <c r="M63" t="n">
        <v>0</v>
      </c>
      <c r="N63" t="n">
        <v>0</v>
      </c>
      <c r="O63" t="n">
        <v>0</v>
      </c>
      <c r="P63" t="n">
        <v>0</v>
      </c>
      <c r="Q63" t="n">
        <v>1</v>
      </c>
      <c r="R63" s="2" t="inlineStr">
        <is>
          <t>Revlummer</t>
        </is>
      </c>
      <c r="S63">
        <f>HYPERLINK("https://klasma.github.io/Logging_1907/artfynd/A 30074-2023 artfynd.xlsx", "A 30074-2023")</f>
        <v/>
      </c>
      <c r="T63">
        <f>HYPERLINK("https://klasma.github.io/Logging_1907/kartor/A 30074-2023 karta.png", "A 30074-2023")</f>
        <v/>
      </c>
      <c r="V63">
        <f>HYPERLINK("https://klasma.github.io/Logging_1907/klagomål/A 30074-2023 FSC-klagomål.docx", "A 30074-2023")</f>
        <v/>
      </c>
      <c r="W63">
        <f>HYPERLINK("https://klasma.github.io/Logging_1907/klagomålsmail/A 30074-2023 FSC-klagomål mail.docx", "A 30074-2023")</f>
        <v/>
      </c>
      <c r="X63">
        <f>HYPERLINK("https://klasma.github.io/Logging_1907/tillsyn/A 30074-2023 tillsynsbegäran.docx", "A 30074-2023")</f>
        <v/>
      </c>
      <c r="Y63">
        <f>HYPERLINK("https://klasma.github.io/Logging_1907/tillsynsmail/A 30074-2023 tillsynsbegäran mail.docx", "A 30074-2023")</f>
        <v/>
      </c>
    </row>
    <row r="64" ht="15" customHeight="1">
      <c r="A64" t="inlineStr">
        <is>
          <t>A 43451-2024</t>
        </is>
      </c>
      <c r="B64" s="1" t="n">
        <v>45568</v>
      </c>
      <c r="C64" s="1" t="n">
        <v>45887</v>
      </c>
      <c r="D64" t="inlineStr">
        <is>
          <t>VÄSTMANLANDS LÄN</t>
        </is>
      </c>
      <c r="E64" t="inlineStr">
        <is>
          <t>SURAHAMMAR</t>
        </is>
      </c>
      <c r="F64" t="inlineStr">
        <is>
          <t>Bergvik skog väst AB</t>
        </is>
      </c>
      <c r="G64" t="n">
        <v>2.9</v>
      </c>
      <c r="H64" t="n">
        <v>0</v>
      </c>
      <c r="I64" t="n">
        <v>0</v>
      </c>
      <c r="J64" t="n">
        <v>1</v>
      </c>
      <c r="K64" t="n">
        <v>0</v>
      </c>
      <c r="L64" t="n">
        <v>0</v>
      </c>
      <c r="M64" t="n">
        <v>0</v>
      </c>
      <c r="N64" t="n">
        <v>0</v>
      </c>
      <c r="O64" t="n">
        <v>1</v>
      </c>
      <c r="P64" t="n">
        <v>0</v>
      </c>
      <c r="Q64" t="n">
        <v>1</v>
      </c>
      <c r="R64" s="2" t="inlineStr">
        <is>
          <t>Ullticka</t>
        </is>
      </c>
      <c r="S64">
        <f>HYPERLINK("https://klasma.github.io/Logging_1907/artfynd/A 43451-2024 artfynd.xlsx", "A 43451-2024")</f>
        <v/>
      </c>
      <c r="T64">
        <f>HYPERLINK("https://klasma.github.io/Logging_1907/kartor/A 43451-2024 karta.png", "A 43451-2024")</f>
        <v/>
      </c>
      <c r="V64">
        <f>HYPERLINK("https://klasma.github.io/Logging_1907/klagomål/A 43451-2024 FSC-klagomål.docx", "A 43451-2024")</f>
        <v/>
      </c>
      <c r="W64">
        <f>HYPERLINK("https://klasma.github.io/Logging_1907/klagomålsmail/A 43451-2024 FSC-klagomål mail.docx", "A 43451-2024")</f>
        <v/>
      </c>
      <c r="X64">
        <f>HYPERLINK("https://klasma.github.io/Logging_1907/tillsyn/A 43451-2024 tillsynsbegäran.docx", "A 43451-2024")</f>
        <v/>
      </c>
      <c r="Y64">
        <f>HYPERLINK("https://klasma.github.io/Logging_1907/tillsynsmail/A 43451-2024 tillsynsbegäran mail.docx", "A 43451-2024")</f>
        <v/>
      </c>
    </row>
    <row r="65" ht="15" customHeight="1">
      <c r="A65" t="inlineStr">
        <is>
          <t>A 31176-2024</t>
        </is>
      </c>
      <c r="B65" s="1" t="n">
        <v>45503</v>
      </c>
      <c r="C65" s="1" t="n">
        <v>45887</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43177-2020</t>
        </is>
      </c>
      <c r="B66" s="1" t="n">
        <v>44081</v>
      </c>
      <c r="C66" s="1" t="n">
        <v>45887</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45887</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45887</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45887</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45887</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45887</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45887</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45887</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45887</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45887</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45887</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45887</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45887</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45887</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45887</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45887</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45887</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44796.64672453704</v>
      </c>
      <c r="C83" s="1" t="n">
        <v>45887</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45887</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45887</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45887</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43590-2020</t>
        </is>
      </c>
      <c r="B87" s="1" t="n">
        <v>44082</v>
      </c>
      <c r="C87" s="1" t="n">
        <v>45887</v>
      </c>
      <c r="D87" t="inlineStr">
        <is>
          <t>VÄSTMANLANDS LÄN</t>
        </is>
      </c>
      <c r="E87" t="inlineStr">
        <is>
          <t>SURAHAMMAR</t>
        </is>
      </c>
      <c r="F87" t="inlineStr">
        <is>
          <t>Sveaskog</t>
        </is>
      </c>
      <c r="G87" t="n">
        <v>2.1</v>
      </c>
      <c r="H87" t="n">
        <v>0</v>
      </c>
      <c r="I87" t="n">
        <v>0</v>
      </c>
      <c r="J87" t="n">
        <v>0</v>
      </c>
      <c r="K87" t="n">
        <v>0</v>
      </c>
      <c r="L87" t="n">
        <v>0</v>
      </c>
      <c r="M87" t="n">
        <v>0</v>
      </c>
      <c r="N87" t="n">
        <v>0</v>
      </c>
      <c r="O87" t="n">
        <v>0</v>
      </c>
      <c r="P87" t="n">
        <v>0</v>
      </c>
      <c r="Q87" t="n">
        <v>0</v>
      </c>
      <c r="R87" s="2" t="inlineStr"/>
    </row>
    <row r="88" ht="15" customHeight="1">
      <c r="A88" t="inlineStr">
        <is>
          <t>A 59543-2020</t>
        </is>
      </c>
      <c r="B88" s="1" t="n">
        <v>44148</v>
      </c>
      <c r="C88" s="1" t="n">
        <v>45887</v>
      </c>
      <c r="D88" t="inlineStr">
        <is>
          <t>VÄSTMANLANDS LÄN</t>
        </is>
      </c>
      <c r="E88" t="inlineStr">
        <is>
          <t>SURAHAMMAR</t>
        </is>
      </c>
      <c r="G88" t="n">
        <v>1.3</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45887</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66350-2021</t>
        </is>
      </c>
      <c r="B90" s="1" t="n">
        <v>44518</v>
      </c>
      <c r="C90" s="1" t="n">
        <v>45887</v>
      </c>
      <c r="D90" t="inlineStr">
        <is>
          <t>VÄSTMANLANDS LÄN</t>
        </is>
      </c>
      <c r="E90" t="inlineStr">
        <is>
          <t>SURAHAMMAR</t>
        </is>
      </c>
      <c r="F90" t="inlineStr">
        <is>
          <t>Sveaskog</t>
        </is>
      </c>
      <c r="G90" t="n">
        <v>3.5</v>
      </c>
      <c r="H90" t="n">
        <v>0</v>
      </c>
      <c r="I90" t="n">
        <v>0</v>
      </c>
      <c r="J90" t="n">
        <v>0</v>
      </c>
      <c r="K90" t="n">
        <v>0</v>
      </c>
      <c r="L90" t="n">
        <v>0</v>
      </c>
      <c r="M90" t="n">
        <v>0</v>
      </c>
      <c r="N90" t="n">
        <v>0</v>
      </c>
      <c r="O90" t="n">
        <v>0</v>
      </c>
      <c r="P90" t="n">
        <v>0</v>
      </c>
      <c r="Q90" t="n">
        <v>0</v>
      </c>
      <c r="R90" s="2" t="inlineStr"/>
    </row>
    <row r="91" ht="15" customHeight="1">
      <c r="A91" t="inlineStr">
        <is>
          <t>A 67611-2021</t>
        </is>
      </c>
      <c r="B91" s="1" t="n">
        <v>44524</v>
      </c>
      <c r="C91" s="1" t="n">
        <v>45887</v>
      </c>
      <c r="D91" t="inlineStr">
        <is>
          <t>VÄSTMANLANDS LÄN</t>
        </is>
      </c>
      <c r="E91" t="inlineStr">
        <is>
          <t>SURAHAMMAR</t>
        </is>
      </c>
      <c r="F91" t="inlineStr">
        <is>
          <t>Kommuner</t>
        </is>
      </c>
      <c r="G91" t="n">
        <v>3.8</v>
      </c>
      <c r="H91" t="n">
        <v>0</v>
      </c>
      <c r="I91" t="n">
        <v>0</v>
      </c>
      <c r="J91" t="n">
        <v>0</v>
      </c>
      <c r="K91" t="n">
        <v>0</v>
      </c>
      <c r="L91" t="n">
        <v>0</v>
      </c>
      <c r="M91" t="n">
        <v>0</v>
      </c>
      <c r="N91" t="n">
        <v>0</v>
      </c>
      <c r="O91" t="n">
        <v>0</v>
      </c>
      <c r="P91" t="n">
        <v>0</v>
      </c>
      <c r="Q91" t="n">
        <v>0</v>
      </c>
      <c r="R91" s="2" t="inlineStr"/>
    </row>
    <row r="92" ht="15" customHeight="1">
      <c r="A92" t="inlineStr">
        <is>
          <t>A 19846-2022</t>
        </is>
      </c>
      <c r="B92" s="1" t="n">
        <v>44696.89327546296</v>
      </c>
      <c r="C92" s="1" t="n">
        <v>45887</v>
      </c>
      <c r="D92" t="inlineStr">
        <is>
          <t>VÄSTMANLANDS LÄN</t>
        </is>
      </c>
      <c r="E92" t="inlineStr">
        <is>
          <t>SURAHAMMAR</t>
        </is>
      </c>
      <c r="F92" t="inlineStr">
        <is>
          <t>Kommuner</t>
        </is>
      </c>
      <c r="G92" t="n">
        <v>3.4</v>
      </c>
      <c r="H92" t="n">
        <v>0</v>
      </c>
      <c r="I92" t="n">
        <v>0</v>
      </c>
      <c r="J92" t="n">
        <v>0</v>
      </c>
      <c r="K92" t="n">
        <v>0</v>
      </c>
      <c r="L92" t="n">
        <v>0</v>
      </c>
      <c r="M92" t="n">
        <v>0</v>
      </c>
      <c r="N92" t="n">
        <v>0</v>
      </c>
      <c r="O92" t="n">
        <v>0</v>
      </c>
      <c r="P92" t="n">
        <v>0</v>
      </c>
      <c r="Q92" t="n">
        <v>0</v>
      </c>
      <c r="R92" s="2" t="inlineStr"/>
    </row>
    <row r="93" ht="15" customHeight="1">
      <c r="A93" t="inlineStr">
        <is>
          <t>A 7787-2024</t>
        </is>
      </c>
      <c r="B93" s="1" t="n">
        <v>45348</v>
      </c>
      <c r="C93" s="1" t="n">
        <v>45887</v>
      </c>
      <c r="D93" t="inlineStr">
        <is>
          <t>VÄSTMANLANDS LÄN</t>
        </is>
      </c>
      <c r="E93" t="inlineStr">
        <is>
          <t>SURAHAMMAR</t>
        </is>
      </c>
      <c r="G93" t="n">
        <v>1</v>
      </c>
      <c r="H93" t="n">
        <v>0</v>
      </c>
      <c r="I93" t="n">
        <v>0</v>
      </c>
      <c r="J93" t="n">
        <v>0</v>
      </c>
      <c r="K93" t="n">
        <v>0</v>
      </c>
      <c r="L93" t="n">
        <v>0</v>
      </c>
      <c r="M93" t="n">
        <v>0</v>
      </c>
      <c r="N93" t="n">
        <v>0</v>
      </c>
      <c r="O93" t="n">
        <v>0</v>
      </c>
      <c r="P93" t="n">
        <v>0</v>
      </c>
      <c r="Q93" t="n">
        <v>0</v>
      </c>
      <c r="R93" s="2" t="inlineStr"/>
    </row>
    <row r="94" ht="15" customHeight="1">
      <c r="A94" t="inlineStr">
        <is>
          <t>A 21509-2024</t>
        </is>
      </c>
      <c r="B94" s="1" t="n">
        <v>45441</v>
      </c>
      <c r="C94" s="1" t="n">
        <v>45887</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45887</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45887</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45887</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47785-2021</t>
        </is>
      </c>
      <c r="B98" s="1" t="n">
        <v>44448</v>
      </c>
      <c r="C98" s="1" t="n">
        <v>45887</v>
      </c>
      <c r="D98" t="inlineStr">
        <is>
          <t>VÄSTMANLANDS LÄN</t>
        </is>
      </c>
      <c r="E98" t="inlineStr">
        <is>
          <t>SURAHAMMAR</t>
        </is>
      </c>
      <c r="F98" t="inlineStr">
        <is>
          <t>Kommuner</t>
        </is>
      </c>
      <c r="G98" t="n">
        <v>3.3</v>
      </c>
      <c r="H98" t="n">
        <v>0</v>
      </c>
      <c r="I98" t="n">
        <v>0</v>
      </c>
      <c r="J98" t="n">
        <v>0</v>
      </c>
      <c r="K98" t="n">
        <v>0</v>
      </c>
      <c r="L98" t="n">
        <v>0</v>
      </c>
      <c r="M98" t="n">
        <v>0</v>
      </c>
      <c r="N98" t="n">
        <v>0</v>
      </c>
      <c r="O98" t="n">
        <v>0</v>
      </c>
      <c r="P98" t="n">
        <v>0</v>
      </c>
      <c r="Q98" t="n">
        <v>0</v>
      </c>
      <c r="R98" s="2" t="inlineStr"/>
    </row>
    <row r="99" ht="15" customHeight="1">
      <c r="A99" t="inlineStr">
        <is>
          <t>A 25417-2024</t>
        </is>
      </c>
      <c r="B99" s="1" t="n">
        <v>45463</v>
      </c>
      <c r="C99" s="1" t="n">
        <v>45887</v>
      </c>
      <c r="D99" t="inlineStr">
        <is>
          <t>VÄSTMANLANDS LÄN</t>
        </is>
      </c>
      <c r="E99" t="inlineStr">
        <is>
          <t>SURAHAMMAR</t>
        </is>
      </c>
      <c r="F99" t="inlineStr">
        <is>
          <t>Sveaskog</t>
        </is>
      </c>
      <c r="G99" t="n">
        <v>3.4</v>
      </c>
      <c r="H99" t="n">
        <v>0</v>
      </c>
      <c r="I99" t="n">
        <v>0</v>
      </c>
      <c r="J99" t="n">
        <v>0</v>
      </c>
      <c r="K99" t="n">
        <v>0</v>
      </c>
      <c r="L99" t="n">
        <v>0</v>
      </c>
      <c r="M99" t="n">
        <v>0</v>
      </c>
      <c r="N99" t="n">
        <v>0</v>
      </c>
      <c r="O99" t="n">
        <v>0</v>
      </c>
      <c r="P99" t="n">
        <v>0</v>
      </c>
      <c r="Q99" t="n">
        <v>0</v>
      </c>
      <c r="R99" s="2" t="inlineStr"/>
    </row>
    <row r="100" ht="15" customHeight="1">
      <c r="A100" t="inlineStr">
        <is>
          <t>A 25450-2024</t>
        </is>
      </c>
      <c r="B100" s="1" t="n">
        <v>45463</v>
      </c>
      <c r="C100" s="1" t="n">
        <v>45887</v>
      </c>
      <c r="D100" t="inlineStr">
        <is>
          <t>VÄSTMANLANDS LÄN</t>
        </is>
      </c>
      <c r="E100" t="inlineStr">
        <is>
          <t>SURAHAMMAR</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10883-2023</t>
        </is>
      </c>
      <c r="B101" s="1" t="n">
        <v>44991</v>
      </c>
      <c r="C101" s="1" t="n">
        <v>45887</v>
      </c>
      <c r="D101" t="inlineStr">
        <is>
          <t>VÄSTMANLANDS LÄN</t>
        </is>
      </c>
      <c r="E101" t="inlineStr">
        <is>
          <t>SURAHAMMAR</t>
        </is>
      </c>
      <c r="F101" t="inlineStr">
        <is>
          <t>Övriga Aktiebolag</t>
        </is>
      </c>
      <c r="G101" t="n">
        <v>12.5</v>
      </c>
      <c r="H101" t="n">
        <v>0</v>
      </c>
      <c r="I101" t="n">
        <v>0</v>
      </c>
      <c r="J101" t="n">
        <v>0</v>
      </c>
      <c r="K101" t="n">
        <v>0</v>
      </c>
      <c r="L101" t="n">
        <v>0</v>
      </c>
      <c r="M101" t="n">
        <v>0</v>
      </c>
      <c r="N101" t="n">
        <v>0</v>
      </c>
      <c r="O101" t="n">
        <v>0</v>
      </c>
      <c r="P101" t="n">
        <v>0</v>
      </c>
      <c r="Q101" t="n">
        <v>0</v>
      </c>
      <c r="R101" s="2" t="inlineStr"/>
    </row>
    <row r="102" ht="15" customHeight="1">
      <c r="A102" t="inlineStr">
        <is>
          <t>A 24665-2023</t>
        </is>
      </c>
      <c r="B102" s="1" t="n">
        <v>45084.48592592592</v>
      </c>
      <c r="C102" s="1" t="n">
        <v>45887</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24167-2024</t>
        </is>
      </c>
      <c r="B103" s="1" t="n">
        <v>45456</v>
      </c>
      <c r="C103" s="1" t="n">
        <v>45887</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15739-2023</t>
        </is>
      </c>
      <c r="B104" s="1" t="n">
        <v>45021</v>
      </c>
      <c r="C104" s="1" t="n">
        <v>45887</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72367-2021</t>
        </is>
      </c>
      <c r="B105" s="1" t="n">
        <v>44545</v>
      </c>
      <c r="C105" s="1" t="n">
        <v>45887</v>
      </c>
      <c r="D105" t="inlineStr">
        <is>
          <t>VÄSTMANLANDS LÄN</t>
        </is>
      </c>
      <c r="E105" t="inlineStr">
        <is>
          <t>SURAHAMMAR</t>
        </is>
      </c>
      <c r="G105" t="n">
        <v>2.5</v>
      </c>
      <c r="H105" t="n">
        <v>0</v>
      </c>
      <c r="I105" t="n">
        <v>0</v>
      </c>
      <c r="J105" t="n">
        <v>0</v>
      </c>
      <c r="K105" t="n">
        <v>0</v>
      </c>
      <c r="L105" t="n">
        <v>0</v>
      </c>
      <c r="M105" t="n">
        <v>0</v>
      </c>
      <c r="N105" t="n">
        <v>0</v>
      </c>
      <c r="O105" t="n">
        <v>0</v>
      </c>
      <c r="P105" t="n">
        <v>0</v>
      </c>
      <c r="Q105" t="n">
        <v>0</v>
      </c>
      <c r="R105" s="2" t="inlineStr"/>
    </row>
    <row r="106" ht="15" customHeight="1">
      <c r="A106" t="inlineStr">
        <is>
          <t>A 38154-2021</t>
        </is>
      </c>
      <c r="B106" s="1" t="n">
        <v>44405.42373842592</v>
      </c>
      <c r="C106" s="1" t="n">
        <v>45887</v>
      </c>
      <c r="D106" t="inlineStr">
        <is>
          <t>VÄSTMANLANDS LÄN</t>
        </is>
      </c>
      <c r="E106" t="inlineStr">
        <is>
          <t>SURAHAMMAR</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44357-2024</t>
        </is>
      </c>
      <c r="B107" s="1" t="n">
        <v>45573</v>
      </c>
      <c r="C107" s="1" t="n">
        <v>45887</v>
      </c>
      <c r="D107" t="inlineStr">
        <is>
          <t>VÄSTMANLANDS LÄN</t>
        </is>
      </c>
      <c r="E107" t="inlineStr">
        <is>
          <t>SURAHAMMAR</t>
        </is>
      </c>
      <c r="F107" t="inlineStr">
        <is>
          <t>Sveaskog</t>
        </is>
      </c>
      <c r="G107" t="n">
        <v>1</v>
      </c>
      <c r="H107" t="n">
        <v>0</v>
      </c>
      <c r="I107" t="n">
        <v>0</v>
      </c>
      <c r="J107" t="n">
        <v>0</v>
      </c>
      <c r="K107" t="n">
        <v>0</v>
      </c>
      <c r="L107" t="n">
        <v>0</v>
      </c>
      <c r="M107" t="n">
        <v>0</v>
      </c>
      <c r="N107" t="n">
        <v>0</v>
      </c>
      <c r="O107" t="n">
        <v>0</v>
      </c>
      <c r="P107" t="n">
        <v>0</v>
      </c>
      <c r="Q107" t="n">
        <v>0</v>
      </c>
      <c r="R107" s="2" t="inlineStr"/>
    </row>
    <row r="108" ht="15" customHeight="1">
      <c r="A108" t="inlineStr">
        <is>
          <t>A 42714-2022</t>
        </is>
      </c>
      <c r="B108" s="1" t="n">
        <v>44832</v>
      </c>
      <c r="C108" s="1" t="n">
        <v>45887</v>
      </c>
      <c r="D108" t="inlineStr">
        <is>
          <t>VÄSTMANLANDS LÄN</t>
        </is>
      </c>
      <c r="E108" t="inlineStr">
        <is>
          <t>SURAHAMMAR</t>
        </is>
      </c>
      <c r="G108" t="n">
        <v>1.1</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45887</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45887</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49060-2024</t>
        </is>
      </c>
      <c r="B111" s="1" t="n">
        <v>45594</v>
      </c>
      <c r="C111" s="1" t="n">
        <v>45887</v>
      </c>
      <c r="D111" t="inlineStr">
        <is>
          <t>VÄSTMANLANDS LÄN</t>
        </is>
      </c>
      <c r="E111" t="inlineStr">
        <is>
          <t>SURAHAMMAR</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19099-2022</t>
        </is>
      </c>
      <c r="B112" s="1" t="n">
        <v>44691</v>
      </c>
      <c r="C112" s="1" t="n">
        <v>45887</v>
      </c>
      <c r="D112" t="inlineStr">
        <is>
          <t>VÄSTMANLANDS LÄN</t>
        </is>
      </c>
      <c r="E112" t="inlineStr">
        <is>
          <t>SURAHAMMAR</t>
        </is>
      </c>
      <c r="F112" t="inlineStr">
        <is>
          <t>Övriga Aktiebolag</t>
        </is>
      </c>
      <c r="G112" t="n">
        <v>3.4</v>
      </c>
      <c r="H112" t="n">
        <v>0</v>
      </c>
      <c r="I112" t="n">
        <v>0</v>
      </c>
      <c r="J112" t="n">
        <v>0</v>
      </c>
      <c r="K112" t="n">
        <v>0</v>
      </c>
      <c r="L112" t="n">
        <v>0</v>
      </c>
      <c r="M112" t="n">
        <v>0</v>
      </c>
      <c r="N112" t="n">
        <v>0</v>
      </c>
      <c r="O112" t="n">
        <v>0</v>
      </c>
      <c r="P112" t="n">
        <v>0</v>
      </c>
      <c r="Q112" t="n">
        <v>0</v>
      </c>
      <c r="R112" s="2" t="inlineStr"/>
    </row>
    <row r="113" ht="15" customHeight="1">
      <c r="A113" t="inlineStr">
        <is>
          <t>A 44358-2024</t>
        </is>
      </c>
      <c r="B113" s="1" t="n">
        <v>45573</v>
      </c>
      <c r="C113" s="1" t="n">
        <v>45887</v>
      </c>
      <c r="D113" t="inlineStr">
        <is>
          <t>VÄSTMANLANDS LÄN</t>
        </is>
      </c>
      <c r="E113" t="inlineStr">
        <is>
          <t>SURAHAMMAR</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44359-2024</t>
        </is>
      </c>
      <c r="B114" s="1" t="n">
        <v>45573</v>
      </c>
      <c r="C114" s="1" t="n">
        <v>45887</v>
      </c>
      <c r="D114" t="inlineStr">
        <is>
          <t>VÄSTMANLANDS LÄN</t>
        </is>
      </c>
      <c r="E114" t="inlineStr">
        <is>
          <t>SURAHAMMAR</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34582-2025</t>
        </is>
      </c>
      <c r="B115" s="1" t="n">
        <v>45846</v>
      </c>
      <c r="C115" s="1" t="n">
        <v>45887</v>
      </c>
      <c r="D115" t="inlineStr">
        <is>
          <t>VÄSTMANLANDS LÄN</t>
        </is>
      </c>
      <c r="E115" t="inlineStr">
        <is>
          <t>SURAHAMMAR</t>
        </is>
      </c>
      <c r="F115" t="inlineStr">
        <is>
          <t>Bergvik skog väst AB</t>
        </is>
      </c>
      <c r="G115" t="n">
        <v>2.6</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45887</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25780-2023</t>
        </is>
      </c>
      <c r="B117" s="1" t="n">
        <v>45090.47523148148</v>
      </c>
      <c r="C117" s="1" t="n">
        <v>45887</v>
      </c>
      <c r="D117" t="inlineStr">
        <is>
          <t>VÄSTMANLANDS LÄN</t>
        </is>
      </c>
      <c r="E117" t="inlineStr">
        <is>
          <t>SURAHAMMAR</t>
        </is>
      </c>
      <c r="G117" t="n">
        <v>2.8</v>
      </c>
      <c r="H117" t="n">
        <v>0</v>
      </c>
      <c r="I117" t="n">
        <v>0</v>
      </c>
      <c r="J117" t="n">
        <v>0</v>
      </c>
      <c r="K117" t="n">
        <v>0</v>
      </c>
      <c r="L117" t="n">
        <v>0</v>
      </c>
      <c r="M117" t="n">
        <v>0</v>
      </c>
      <c r="N117" t="n">
        <v>0</v>
      </c>
      <c r="O117" t="n">
        <v>0</v>
      </c>
      <c r="P117" t="n">
        <v>0</v>
      </c>
      <c r="Q117" t="n">
        <v>0</v>
      </c>
      <c r="R117" s="2" t="inlineStr"/>
    </row>
    <row r="118" ht="15" customHeight="1">
      <c r="A118" t="inlineStr">
        <is>
          <t>A 13386-2025</t>
        </is>
      </c>
      <c r="B118" s="1" t="n">
        <v>45735</v>
      </c>
      <c r="C118" s="1" t="n">
        <v>45887</v>
      </c>
      <c r="D118" t="inlineStr">
        <is>
          <t>VÄSTMANLANDS LÄN</t>
        </is>
      </c>
      <c r="E118" t="inlineStr">
        <is>
          <t>SURAHAMMAR</t>
        </is>
      </c>
      <c r="F118" t="inlineStr">
        <is>
          <t>Bergvik skog väst AB</t>
        </is>
      </c>
      <c r="G118" t="n">
        <v>4</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45887</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35682-2022</t>
        </is>
      </c>
      <c r="B120" s="1" t="n">
        <v>44799.60422453703</v>
      </c>
      <c r="C120" s="1" t="n">
        <v>45887</v>
      </c>
      <c r="D120" t="inlineStr">
        <is>
          <t>VÄSTMANLANDS LÄN</t>
        </is>
      </c>
      <c r="E120" t="inlineStr">
        <is>
          <t>SURAHAMMAR</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3818-2022</t>
        </is>
      </c>
      <c r="B121" s="1" t="n">
        <v>44587</v>
      </c>
      <c r="C121" s="1" t="n">
        <v>45887</v>
      </c>
      <c r="D121" t="inlineStr">
        <is>
          <t>VÄSTMANLANDS LÄN</t>
        </is>
      </c>
      <c r="E121" t="inlineStr">
        <is>
          <t>SURAHAMMAR</t>
        </is>
      </c>
      <c r="G121" t="n">
        <v>2.6</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45887</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2660-2024</t>
        </is>
      </c>
      <c r="B123" s="1" t="n">
        <v>45310</v>
      </c>
      <c r="C123" s="1" t="n">
        <v>45887</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41555-2022</t>
        </is>
      </c>
      <c r="B124" s="1" t="n">
        <v>44826</v>
      </c>
      <c r="C124" s="1" t="n">
        <v>45887</v>
      </c>
      <c r="D124" t="inlineStr">
        <is>
          <t>VÄSTMANLANDS LÄN</t>
        </is>
      </c>
      <c r="E124" t="inlineStr">
        <is>
          <t>SURAHAMMAR</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37013-2025</t>
        </is>
      </c>
      <c r="B125" s="1" t="n">
        <v>45874</v>
      </c>
      <c r="C125" s="1" t="n">
        <v>45887</v>
      </c>
      <c r="D125" t="inlineStr">
        <is>
          <t>VÄSTMANLANDS LÄN</t>
        </is>
      </c>
      <c r="E125" t="inlineStr">
        <is>
          <t>SURAHAMMAR</t>
        </is>
      </c>
      <c r="F125" t="inlineStr">
        <is>
          <t>Bergvik skog väst AB</t>
        </is>
      </c>
      <c r="G125" t="n">
        <v>10.7</v>
      </c>
      <c r="H125" t="n">
        <v>0</v>
      </c>
      <c r="I125" t="n">
        <v>0</v>
      </c>
      <c r="J125" t="n">
        <v>0</v>
      </c>
      <c r="K125" t="n">
        <v>0</v>
      </c>
      <c r="L125" t="n">
        <v>0</v>
      </c>
      <c r="M125" t="n">
        <v>0</v>
      </c>
      <c r="N125" t="n">
        <v>0</v>
      </c>
      <c r="O125" t="n">
        <v>0</v>
      </c>
      <c r="P125" t="n">
        <v>0</v>
      </c>
      <c r="Q125" t="n">
        <v>0</v>
      </c>
      <c r="R125" s="2" t="inlineStr"/>
    </row>
    <row r="126" ht="15" customHeight="1">
      <c r="A126" t="inlineStr">
        <is>
          <t>A 44353-2024</t>
        </is>
      </c>
      <c r="B126" s="1" t="n">
        <v>45573</v>
      </c>
      <c r="C126" s="1" t="n">
        <v>45887</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5567-2022</t>
        </is>
      </c>
      <c r="B127" s="1" t="n">
        <v>44595</v>
      </c>
      <c r="C127" s="1" t="n">
        <v>45887</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41576-2022</t>
        </is>
      </c>
      <c r="B128" s="1" t="n">
        <v>44826</v>
      </c>
      <c r="C128" s="1" t="n">
        <v>45887</v>
      </c>
      <c r="D128" t="inlineStr">
        <is>
          <t>VÄSTMANLANDS LÄN</t>
        </is>
      </c>
      <c r="E128" t="inlineStr">
        <is>
          <t>SURAHAMMAR</t>
        </is>
      </c>
      <c r="F128" t="inlineStr">
        <is>
          <t>Bergvik skog väst AB</t>
        </is>
      </c>
      <c r="G128" t="n">
        <v>6.4</v>
      </c>
      <c r="H128" t="n">
        <v>0</v>
      </c>
      <c r="I128" t="n">
        <v>0</v>
      </c>
      <c r="J128" t="n">
        <v>0</v>
      </c>
      <c r="K128" t="n">
        <v>0</v>
      </c>
      <c r="L128" t="n">
        <v>0</v>
      </c>
      <c r="M128" t="n">
        <v>0</v>
      </c>
      <c r="N128" t="n">
        <v>0</v>
      </c>
      <c r="O128" t="n">
        <v>0</v>
      </c>
      <c r="P128" t="n">
        <v>0</v>
      </c>
      <c r="Q128" t="n">
        <v>0</v>
      </c>
      <c r="R128" s="2" t="inlineStr"/>
    </row>
    <row r="129" ht="15" customHeight="1">
      <c r="A129" t="inlineStr">
        <is>
          <t>A 13119-2022</t>
        </is>
      </c>
      <c r="B129" s="1" t="n">
        <v>44643</v>
      </c>
      <c r="C129" s="1" t="n">
        <v>45887</v>
      </c>
      <c r="D129" t="inlineStr">
        <is>
          <t>VÄSTMANLANDS LÄN</t>
        </is>
      </c>
      <c r="E129" t="inlineStr">
        <is>
          <t>SURAHAMMAR</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19782-2023</t>
        </is>
      </c>
      <c r="B130" s="1" t="n">
        <v>45050</v>
      </c>
      <c r="C130" s="1" t="n">
        <v>45887</v>
      </c>
      <c r="D130" t="inlineStr">
        <is>
          <t>VÄSTMANLANDS LÄN</t>
        </is>
      </c>
      <c r="E130" t="inlineStr">
        <is>
          <t>SURAHAMMAR</t>
        </is>
      </c>
      <c r="F130" t="inlineStr">
        <is>
          <t>Bergvik skog väst AB</t>
        </is>
      </c>
      <c r="G130" t="n">
        <v>5.2</v>
      </c>
      <c r="H130" t="n">
        <v>0</v>
      </c>
      <c r="I130" t="n">
        <v>0</v>
      </c>
      <c r="J130" t="n">
        <v>0</v>
      </c>
      <c r="K130" t="n">
        <v>0</v>
      </c>
      <c r="L130" t="n">
        <v>0</v>
      </c>
      <c r="M130" t="n">
        <v>0</v>
      </c>
      <c r="N130" t="n">
        <v>0</v>
      </c>
      <c r="O130" t="n">
        <v>0</v>
      </c>
      <c r="P130" t="n">
        <v>0</v>
      </c>
      <c r="Q130" t="n">
        <v>0</v>
      </c>
      <c r="R130" s="2" t="inlineStr"/>
    </row>
    <row r="131" ht="15" customHeight="1">
      <c r="A131" t="inlineStr">
        <is>
          <t>A 37954-2025</t>
        </is>
      </c>
      <c r="B131" s="1" t="n">
        <v>45881</v>
      </c>
      <c r="C131" s="1" t="n">
        <v>45887</v>
      </c>
      <c r="D131" t="inlineStr">
        <is>
          <t>VÄSTMANLANDS LÄN</t>
        </is>
      </c>
      <c r="E131" t="inlineStr">
        <is>
          <t>SURAHAMMAR</t>
        </is>
      </c>
      <c r="G131" t="n">
        <v>9.5</v>
      </c>
      <c r="H131" t="n">
        <v>0</v>
      </c>
      <c r="I131" t="n">
        <v>0</v>
      </c>
      <c r="J131" t="n">
        <v>0</v>
      </c>
      <c r="K131" t="n">
        <v>0</v>
      </c>
      <c r="L131" t="n">
        <v>0</v>
      </c>
      <c r="M131" t="n">
        <v>0</v>
      </c>
      <c r="N131" t="n">
        <v>0</v>
      </c>
      <c r="O131" t="n">
        <v>0</v>
      </c>
      <c r="P131" t="n">
        <v>0</v>
      </c>
      <c r="Q131" t="n">
        <v>0</v>
      </c>
      <c r="R131" s="2" t="inlineStr"/>
    </row>
    <row r="132" ht="15" customHeight="1">
      <c r="A132" t="inlineStr">
        <is>
          <t>A 14626-2023</t>
        </is>
      </c>
      <c r="B132" s="1" t="n">
        <v>45012</v>
      </c>
      <c r="C132" s="1" t="n">
        <v>45887</v>
      </c>
      <c r="D132" t="inlineStr">
        <is>
          <t>VÄSTMANLANDS LÄN</t>
        </is>
      </c>
      <c r="E132" t="inlineStr">
        <is>
          <t>SURAHAMMAR</t>
        </is>
      </c>
      <c r="F132" t="inlineStr">
        <is>
          <t>Bergvik skog väst AB</t>
        </is>
      </c>
      <c r="G132" t="n">
        <v>5</v>
      </c>
      <c r="H132" t="n">
        <v>0</v>
      </c>
      <c r="I132" t="n">
        <v>0</v>
      </c>
      <c r="J132" t="n">
        <v>0</v>
      </c>
      <c r="K132" t="n">
        <v>0</v>
      </c>
      <c r="L132" t="n">
        <v>0</v>
      </c>
      <c r="M132" t="n">
        <v>0</v>
      </c>
      <c r="N132" t="n">
        <v>0</v>
      </c>
      <c r="O132" t="n">
        <v>0</v>
      </c>
      <c r="P132" t="n">
        <v>0</v>
      </c>
      <c r="Q132" t="n">
        <v>0</v>
      </c>
      <c r="R132" s="2" t="inlineStr"/>
    </row>
    <row r="133" ht="15" customHeight="1">
      <c r="A133" t="inlineStr">
        <is>
          <t>A 52074-2020</t>
        </is>
      </c>
      <c r="B133" s="1" t="n">
        <v>44117</v>
      </c>
      <c r="C133" s="1" t="n">
        <v>45887</v>
      </c>
      <c r="D133" t="inlineStr">
        <is>
          <t>VÄSTMANLANDS LÄN</t>
        </is>
      </c>
      <c r="E133" t="inlineStr">
        <is>
          <t>SURAHAMMAR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8553-2023</t>
        </is>
      </c>
      <c r="B134" s="1" t="n">
        <v>44977</v>
      </c>
      <c r="C134" s="1" t="n">
        <v>45887</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56378-2023</t>
        </is>
      </c>
      <c r="B135" s="1" t="n">
        <v>45236</v>
      </c>
      <c r="C135" s="1" t="n">
        <v>45887</v>
      </c>
      <c r="D135" t="inlineStr">
        <is>
          <t>VÄSTMANLANDS LÄN</t>
        </is>
      </c>
      <c r="E135" t="inlineStr">
        <is>
          <t>SURAHAMMAR</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3085-2023</t>
        </is>
      </c>
      <c r="B136" s="1" t="n">
        <v>44946</v>
      </c>
      <c r="C136" s="1" t="n">
        <v>45887</v>
      </c>
      <c r="D136" t="inlineStr">
        <is>
          <t>VÄSTMANLANDS LÄN</t>
        </is>
      </c>
      <c r="E136" t="inlineStr">
        <is>
          <t>SURAHAMMAR</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11728-2023</t>
        </is>
      </c>
      <c r="B137" s="1" t="n">
        <v>44993</v>
      </c>
      <c r="C137" s="1" t="n">
        <v>45887</v>
      </c>
      <c r="D137" t="inlineStr">
        <is>
          <t>VÄSTMANLANDS LÄN</t>
        </is>
      </c>
      <c r="E137" t="inlineStr">
        <is>
          <t>SURAHAMMAR</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7848-2022</t>
        </is>
      </c>
      <c r="B138" s="1" t="n">
        <v>44608.58400462963</v>
      </c>
      <c r="C138" s="1" t="n">
        <v>45887</v>
      </c>
      <c r="D138" t="inlineStr">
        <is>
          <t>VÄSTMANLANDS LÄN</t>
        </is>
      </c>
      <c r="E138" t="inlineStr">
        <is>
          <t>SURAHAMMAR</t>
        </is>
      </c>
      <c r="G138" t="n">
        <v>2.1</v>
      </c>
      <c r="H138" t="n">
        <v>0</v>
      </c>
      <c r="I138" t="n">
        <v>0</v>
      </c>
      <c r="J138" t="n">
        <v>0</v>
      </c>
      <c r="K138" t="n">
        <v>0</v>
      </c>
      <c r="L138" t="n">
        <v>0</v>
      </c>
      <c r="M138" t="n">
        <v>0</v>
      </c>
      <c r="N138" t="n">
        <v>0</v>
      </c>
      <c r="O138" t="n">
        <v>0</v>
      </c>
      <c r="P138" t="n">
        <v>0</v>
      </c>
      <c r="Q138" t="n">
        <v>0</v>
      </c>
      <c r="R138" s="2" t="inlineStr"/>
    </row>
    <row r="139" ht="15" customHeight="1">
      <c r="A139" t="inlineStr">
        <is>
          <t>A 11501-2023</t>
        </is>
      </c>
      <c r="B139" s="1" t="n">
        <v>44991</v>
      </c>
      <c r="C139" s="1" t="n">
        <v>45887</v>
      </c>
      <c r="D139" t="inlineStr">
        <is>
          <t>VÄSTMANLANDS LÄN</t>
        </is>
      </c>
      <c r="E139" t="inlineStr">
        <is>
          <t>SURAHAMMAR</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16013-2023</t>
        </is>
      </c>
      <c r="B140" s="1" t="n">
        <v>45026</v>
      </c>
      <c r="C140" s="1" t="n">
        <v>45887</v>
      </c>
      <c r="D140" t="inlineStr">
        <is>
          <t>VÄSTMANLANDS LÄN</t>
        </is>
      </c>
      <c r="E140" t="inlineStr">
        <is>
          <t>SURAHAMMAR</t>
        </is>
      </c>
      <c r="G140" t="n">
        <v>3.9</v>
      </c>
      <c r="H140" t="n">
        <v>0</v>
      </c>
      <c r="I140" t="n">
        <v>0</v>
      </c>
      <c r="J140" t="n">
        <v>0</v>
      </c>
      <c r="K140" t="n">
        <v>0</v>
      </c>
      <c r="L140" t="n">
        <v>0</v>
      </c>
      <c r="M140" t="n">
        <v>0</v>
      </c>
      <c r="N140" t="n">
        <v>0</v>
      </c>
      <c r="O140" t="n">
        <v>0</v>
      </c>
      <c r="P140" t="n">
        <v>0</v>
      </c>
      <c r="Q140" t="n">
        <v>0</v>
      </c>
      <c r="R140" s="2" t="inlineStr"/>
    </row>
    <row r="141" ht="15" customHeight="1">
      <c r="A141" t="inlineStr">
        <is>
          <t>A 20904-2023</t>
        </is>
      </c>
      <c r="B141" s="1" t="n">
        <v>45060</v>
      </c>
      <c r="C141" s="1" t="n">
        <v>45887</v>
      </c>
      <c r="D141" t="inlineStr">
        <is>
          <t>VÄSTMANLANDS LÄN</t>
        </is>
      </c>
      <c r="E141" t="inlineStr">
        <is>
          <t>SURAHAMMAR</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16608-2022</t>
        </is>
      </c>
      <c r="B142" s="1" t="n">
        <v>44672</v>
      </c>
      <c r="C142" s="1" t="n">
        <v>45887</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42829-2022</t>
        </is>
      </c>
      <c r="B143" s="1" t="n">
        <v>44832</v>
      </c>
      <c r="C143" s="1" t="n">
        <v>45887</v>
      </c>
      <c r="D143" t="inlineStr">
        <is>
          <t>VÄSTMANLANDS LÄN</t>
        </is>
      </c>
      <c r="E143" t="inlineStr">
        <is>
          <t>SURAHAMMAR</t>
        </is>
      </c>
      <c r="G143" t="n">
        <v>1.6</v>
      </c>
      <c r="H143" t="n">
        <v>0</v>
      </c>
      <c r="I143" t="n">
        <v>0</v>
      </c>
      <c r="J143" t="n">
        <v>0</v>
      </c>
      <c r="K143" t="n">
        <v>0</v>
      </c>
      <c r="L143" t="n">
        <v>0</v>
      </c>
      <c r="M143" t="n">
        <v>0</v>
      </c>
      <c r="N143" t="n">
        <v>0</v>
      </c>
      <c r="O143" t="n">
        <v>0</v>
      </c>
      <c r="P143" t="n">
        <v>0</v>
      </c>
      <c r="Q143" t="n">
        <v>0</v>
      </c>
      <c r="R143" s="2" t="inlineStr"/>
    </row>
    <row r="144" ht="15" customHeight="1">
      <c r="A144" t="inlineStr">
        <is>
          <t>A 34955-2022</t>
        </is>
      </c>
      <c r="B144" s="1" t="n">
        <v>44796</v>
      </c>
      <c r="C144" s="1" t="n">
        <v>45887</v>
      </c>
      <c r="D144" t="inlineStr">
        <is>
          <t>VÄSTMANLANDS LÄN</t>
        </is>
      </c>
      <c r="E144" t="inlineStr">
        <is>
          <t>SURAHAMMAR</t>
        </is>
      </c>
      <c r="F144" t="inlineStr">
        <is>
          <t>Sveaskog</t>
        </is>
      </c>
      <c r="G144" t="n">
        <v>4.6</v>
      </c>
      <c r="H144" t="n">
        <v>0</v>
      </c>
      <c r="I144" t="n">
        <v>0</v>
      </c>
      <c r="J144" t="n">
        <v>0</v>
      </c>
      <c r="K144" t="n">
        <v>0</v>
      </c>
      <c r="L144" t="n">
        <v>0</v>
      </c>
      <c r="M144" t="n">
        <v>0</v>
      </c>
      <c r="N144" t="n">
        <v>0</v>
      </c>
      <c r="O144" t="n">
        <v>0</v>
      </c>
      <c r="P144" t="n">
        <v>0</v>
      </c>
      <c r="Q144" t="n">
        <v>0</v>
      </c>
      <c r="R144" s="2" t="inlineStr"/>
    </row>
    <row r="145" ht="15" customHeight="1">
      <c r="A145" t="inlineStr">
        <is>
          <t>A 15743-2023</t>
        </is>
      </c>
      <c r="B145" s="1" t="n">
        <v>45021</v>
      </c>
      <c r="C145" s="1" t="n">
        <v>45887</v>
      </c>
      <c r="D145" t="inlineStr">
        <is>
          <t>VÄSTMANLANDS LÄN</t>
        </is>
      </c>
      <c r="E145" t="inlineStr">
        <is>
          <t>SURAHAMMAR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45887</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48205-2023</t>
        </is>
      </c>
      <c r="B147" s="1" t="n">
        <v>45205</v>
      </c>
      <c r="C147" s="1" t="n">
        <v>45887</v>
      </c>
      <c r="D147" t="inlineStr">
        <is>
          <t>VÄSTMANLANDS LÄN</t>
        </is>
      </c>
      <c r="E147" t="inlineStr">
        <is>
          <t>SURAHAMMAR</t>
        </is>
      </c>
      <c r="F147" t="inlineStr">
        <is>
          <t>Allmännings- och besparingsskogar</t>
        </is>
      </c>
      <c r="G147" t="n">
        <v>7.6</v>
      </c>
      <c r="H147" t="n">
        <v>0</v>
      </c>
      <c r="I147" t="n">
        <v>0</v>
      </c>
      <c r="J147" t="n">
        <v>0</v>
      </c>
      <c r="K147" t="n">
        <v>0</v>
      </c>
      <c r="L147" t="n">
        <v>0</v>
      </c>
      <c r="M147" t="n">
        <v>0</v>
      </c>
      <c r="N147" t="n">
        <v>0</v>
      </c>
      <c r="O147" t="n">
        <v>0</v>
      </c>
      <c r="P147" t="n">
        <v>0</v>
      </c>
      <c r="Q147" t="n">
        <v>0</v>
      </c>
      <c r="R147" s="2" t="inlineStr"/>
    </row>
    <row r="148" ht="15" customHeight="1">
      <c r="A148" t="inlineStr">
        <is>
          <t>A 13796-2025</t>
        </is>
      </c>
      <c r="B148" s="1" t="n">
        <v>45737.47846064815</v>
      </c>
      <c r="C148" s="1" t="n">
        <v>45887</v>
      </c>
      <c r="D148" t="inlineStr">
        <is>
          <t>VÄSTMANLANDS LÄN</t>
        </is>
      </c>
      <c r="E148" t="inlineStr">
        <is>
          <t>SURAHAMMAR</t>
        </is>
      </c>
      <c r="G148" t="n">
        <v>3.3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44662.89638888889</v>
      </c>
      <c r="C149" s="1" t="n">
        <v>45887</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19786-2023</t>
        </is>
      </c>
      <c r="B150" s="1" t="n">
        <v>45050</v>
      </c>
      <c r="C150" s="1" t="n">
        <v>45887</v>
      </c>
      <c r="D150" t="inlineStr">
        <is>
          <t>VÄSTMANLANDS LÄN</t>
        </is>
      </c>
      <c r="E150" t="inlineStr">
        <is>
          <t>SURAHAMMAR</t>
        </is>
      </c>
      <c r="F150" t="inlineStr">
        <is>
          <t>Bergvik skog väst AB</t>
        </is>
      </c>
      <c r="G150" t="n">
        <v>8.1</v>
      </c>
      <c r="H150" t="n">
        <v>0</v>
      </c>
      <c r="I150" t="n">
        <v>0</v>
      </c>
      <c r="J150" t="n">
        <v>0</v>
      </c>
      <c r="K150" t="n">
        <v>0</v>
      </c>
      <c r="L150" t="n">
        <v>0</v>
      </c>
      <c r="M150" t="n">
        <v>0</v>
      </c>
      <c r="N150" t="n">
        <v>0</v>
      </c>
      <c r="O150" t="n">
        <v>0</v>
      </c>
      <c r="P150" t="n">
        <v>0</v>
      </c>
      <c r="Q150" t="n">
        <v>0</v>
      </c>
      <c r="R150" s="2" t="inlineStr"/>
    </row>
    <row r="151" ht="15" customHeight="1">
      <c r="A151" t="inlineStr">
        <is>
          <t>A 33931-2022</t>
        </is>
      </c>
      <c r="B151" s="1" t="n">
        <v>44790.65153935185</v>
      </c>
      <c r="C151" s="1" t="n">
        <v>45887</v>
      </c>
      <c r="D151" t="inlineStr">
        <is>
          <t>VÄSTMANLANDS LÄN</t>
        </is>
      </c>
      <c r="E151" t="inlineStr">
        <is>
          <t>SURAHAMMAR</t>
        </is>
      </c>
      <c r="G151" t="n">
        <v>2.2</v>
      </c>
      <c r="H151" t="n">
        <v>0</v>
      </c>
      <c r="I151" t="n">
        <v>0</v>
      </c>
      <c r="J151" t="n">
        <v>0</v>
      </c>
      <c r="K151" t="n">
        <v>0</v>
      </c>
      <c r="L151" t="n">
        <v>0</v>
      </c>
      <c r="M151" t="n">
        <v>0</v>
      </c>
      <c r="N151" t="n">
        <v>0</v>
      </c>
      <c r="O151" t="n">
        <v>0</v>
      </c>
      <c r="P151" t="n">
        <v>0</v>
      </c>
      <c r="Q151" t="n">
        <v>0</v>
      </c>
      <c r="R151" s="2" t="inlineStr"/>
    </row>
    <row r="152" ht="15" customHeight="1">
      <c r="A152" t="inlineStr">
        <is>
          <t>A 22662-2023</t>
        </is>
      </c>
      <c r="B152" s="1" t="n">
        <v>45071</v>
      </c>
      <c r="C152" s="1" t="n">
        <v>45887</v>
      </c>
      <c r="D152" t="inlineStr">
        <is>
          <t>VÄSTMANLANDS LÄN</t>
        </is>
      </c>
      <c r="E152" t="inlineStr">
        <is>
          <t>SURAHAMMAR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30076-2023</t>
        </is>
      </c>
      <c r="B153" s="1" t="n">
        <v>45110</v>
      </c>
      <c r="C153" s="1" t="n">
        <v>45887</v>
      </c>
      <c r="D153" t="inlineStr">
        <is>
          <t>VÄSTMANLANDS LÄN</t>
        </is>
      </c>
      <c r="E153" t="inlineStr">
        <is>
          <t>SURAHAMMAR</t>
        </is>
      </c>
      <c r="F153" t="inlineStr">
        <is>
          <t>Sveaskog</t>
        </is>
      </c>
      <c r="G153" t="n">
        <v>1.1</v>
      </c>
      <c r="H153" t="n">
        <v>0</v>
      </c>
      <c r="I153" t="n">
        <v>0</v>
      </c>
      <c r="J153" t="n">
        <v>0</v>
      </c>
      <c r="K153" t="n">
        <v>0</v>
      </c>
      <c r="L153" t="n">
        <v>0</v>
      </c>
      <c r="M153" t="n">
        <v>0</v>
      </c>
      <c r="N153" t="n">
        <v>0</v>
      </c>
      <c r="O153" t="n">
        <v>0</v>
      </c>
      <c r="P153" t="n">
        <v>0</v>
      </c>
      <c r="Q153" t="n">
        <v>0</v>
      </c>
      <c r="R153" s="2" t="inlineStr"/>
    </row>
    <row r="154">
      <c r="A154" t="inlineStr">
        <is>
          <t>A 10396-2025</t>
        </is>
      </c>
      <c r="B154" s="1" t="n">
        <v>45720.60721064815</v>
      </c>
      <c r="C154" s="1" t="n">
        <v>45887</v>
      </c>
      <c r="D154" t="inlineStr">
        <is>
          <t>VÄSTMANLANDS LÄN</t>
        </is>
      </c>
      <c r="E154" t="inlineStr">
        <is>
          <t>SURAHAMMAR</t>
        </is>
      </c>
      <c r="F154" t="inlineStr">
        <is>
          <t>Allmännings- och besparingsskogar</t>
        </is>
      </c>
      <c r="G154" t="n">
        <v>9.300000000000001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2025-08-18T08:32:46Z</dcterms:created>
  <dcterms:modified xmlns:dcterms="http://purl.org/dc/terms/" xmlns:xsi="http://www.w3.org/2001/XMLSchema-instance" xsi:type="dcterms:W3CDTF">2025-08-18T08:32:46Z</dcterms:modified>
</cp:coreProperties>
</file>