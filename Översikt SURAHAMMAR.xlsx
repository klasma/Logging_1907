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46227</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218</v>
      </c>
      <c r="U5" t="n">
        <v>82</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46227</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46227</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46227</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46227</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t="n">
        <v>19</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46227</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46227</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46227</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46227</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46227</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34040-2024</t>
        </is>
      </c>
      <c r="B15" t="inlineStr">
        <is>
          <t>avverkningsanmälan</t>
        </is>
      </c>
      <c r="C15" t="inlineStr">
        <is>
          <t>Föryngringsavverkning</t>
        </is>
      </c>
      <c r="D15" s="1" t="n">
        <v>45523</v>
      </c>
      <c r="E15" s="1" t="n">
        <v>46227</v>
      </c>
      <c r="F15" t="inlineStr">
        <is>
          <t>VÄSTMANLANDS LÄN</t>
        </is>
      </c>
      <c r="G15" t="inlineStr">
        <is>
          <t>SURAHAMMAR</t>
        </is>
      </c>
      <c r="H15" t="inlineStr">
        <is>
          <t>Övriga Aktiebolag</t>
        </is>
      </c>
      <c r="I15" t="n">
        <v>6.4</v>
      </c>
      <c r="J15" t="n">
        <v>4</v>
      </c>
      <c r="K15" t="n">
        <v>4</v>
      </c>
      <c r="L15" t="n">
        <v>3</v>
      </c>
      <c r="M15" t="n">
        <v>2</v>
      </c>
      <c r="N15" t="n">
        <v>0</v>
      </c>
      <c r="O15" t="n">
        <v>0</v>
      </c>
      <c r="P15" t="n">
        <v>0</v>
      </c>
      <c r="Q15" t="n">
        <v>5</v>
      </c>
      <c r="R15" t="n">
        <v>2</v>
      </c>
      <c r="S15" t="n">
        <v>11</v>
      </c>
      <c r="T15" t="n">
        <v>28</v>
      </c>
      <c r="U15" t="n">
        <v>28</v>
      </c>
      <c r="V15" s="2" t="inlineStr">
        <is>
          <t>Gränsticka
Knärot
Talltita
Ullticka
Vedtrappmossa
Bronshjon
Grönpyrola
Mindre märgborre
Vedticka
Spillkråka
Tjäder</t>
        </is>
      </c>
      <c r="W15">
        <f>HYPERLINK("https://klasma.github.io/Logging_1907/artfynd/A 34040-2024 artfynd.xlsx", "A 34040-2024")</f>
        <v/>
      </c>
      <c r="X15">
        <f>HYPERLINK("https://klasma.github.io/Logging_1907/kartor/A 34040-2024 karta.png", "A 34040-2024")</f>
        <v/>
      </c>
      <c r="Y15">
        <f>HYPERLINK("https://klasma.github.io/Logging_1907/kartor_geotiff/A 34040-2024 georefererad karta.tif", "A 34040-2024")</f>
        <v/>
      </c>
      <c r="Z15">
        <f>HYPERLINK("https://klasma.github.io/Logging_1907/knärot/A 34040-2024 karta knärot.png", "A 34040-2024")</f>
        <v/>
      </c>
      <c r="AA15">
        <f>HYPERLINK("https://klasma.github.io/Logging_1907/klagomål/A 34040-2024 FSC-klagomål.docx", "A 34040-2024")</f>
        <v/>
      </c>
      <c r="AB15">
        <f>HYPERLINK("https://klasma.github.io/Logging_1907/klagomålsmail/A 34040-2024 FSC-klagomål mail.docx", "A 34040-2024")</f>
        <v/>
      </c>
      <c r="AC15">
        <f>HYPERLINK("https://klasma.github.io/Logging_1907/tillsyn/A 34040-2024 tillsynsbegäran.docx", "A 34040-2024")</f>
        <v/>
      </c>
      <c r="AD15">
        <f>HYPERLINK("https://klasma.github.io/Logging_1907/tillsynsmail/A 34040-2024 tillsynsbegäran mail.docx", "A 34040-2024")</f>
        <v/>
      </c>
      <c r="AE15">
        <f>HYPERLINK("https://klasma.github.io/Logging_1907/fåglar/A 34040-2024 prioriterade fågelarter.docx", "A 34040-2024")</f>
        <v/>
      </c>
    </row>
    <row r="16" ht="15" customHeight="1">
      <c r="A16" t="inlineStr">
        <is>
          <t>A 39594-2025</t>
        </is>
      </c>
      <c r="B16" t="inlineStr">
        <is>
          <t>avverkningsanmälan</t>
        </is>
      </c>
      <c r="C16" t="inlineStr">
        <is>
          <t>Föryngringsavverkning</t>
        </is>
      </c>
      <c r="D16" s="1" t="n">
        <v>45890</v>
      </c>
      <c r="E16" s="1" t="n">
        <v>46227</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42853-2022</t>
        </is>
      </c>
      <c r="B17" t="inlineStr">
        <is>
          <t>avverkningsanmälan</t>
        </is>
      </c>
      <c r="C17" t="inlineStr">
        <is>
          <t>Avverkning för att bevara och utveckla /försöksver</t>
        </is>
      </c>
      <c r="D17" s="1" t="n">
        <v>44832</v>
      </c>
      <c r="E17" s="1" t="n">
        <v>46227</v>
      </c>
      <c r="F17" t="inlineStr">
        <is>
          <t>VÄSTMANLANDS LÄN</t>
        </is>
      </c>
      <c r="G17" t="inlineStr">
        <is>
          <t>SURAHAMMAR</t>
        </is>
      </c>
      <c r="I17" t="n">
        <v>7.4</v>
      </c>
      <c r="J17" t="n">
        <v>3</v>
      </c>
      <c r="K17" t="n">
        <v>7</v>
      </c>
      <c r="L17" t="n">
        <v>2</v>
      </c>
      <c r="M17" t="n">
        <v>0</v>
      </c>
      <c r="N17" t="n">
        <v>1</v>
      </c>
      <c r="O17" t="n">
        <v>0</v>
      </c>
      <c r="P17" t="n">
        <v>0</v>
      </c>
      <c r="Q17" t="n">
        <v>3</v>
      </c>
      <c r="R17" t="n">
        <v>1</v>
      </c>
      <c r="S17" t="n">
        <v>11</v>
      </c>
      <c r="T17" t="n">
        <v>15</v>
      </c>
      <c r="U17" t="n">
        <v>2</v>
      </c>
      <c r="V17" s="2" t="inlineStr">
        <is>
          <t>Ask
Kandelabersvamp
Mindre hackspett
Blodvaxing
Gulvaxing
Luktvaxing
Tvåblad
Vitvaxing agg.
Ängsfingersvamp
Ängsvaxing agg.
Skogsduva</t>
        </is>
      </c>
      <c r="W17">
        <f>HYPERLINK("https://klasma.github.io/Logging_1907/artfynd/A 42853-2022 artfynd.xlsx", "A 42853-2022")</f>
        <v/>
      </c>
      <c r="X17">
        <f>HYPERLINK("https://klasma.github.io/Logging_1907/kartor/A 42853-2022 karta.png", "A 42853-2022")</f>
        <v/>
      </c>
      <c r="Y17">
        <f>HYPERLINK("https://klasma.github.io/Logging_1907/kartor_geotiff/A 42853-2022 georefererad karta.tif", "A 42853-2022")</f>
        <v/>
      </c>
      <c r="AA17">
        <f>HYPERLINK("https://klasma.github.io/Logging_1907/klagomål/A 42853-2022 FSC-klagomål.docx", "A 42853-2022")</f>
        <v/>
      </c>
      <c r="AB17">
        <f>HYPERLINK("https://klasma.github.io/Logging_1907/klagomålsmail/A 42853-2022 FSC-klagomål mail.docx", "A 42853-2022")</f>
        <v/>
      </c>
      <c r="AC17">
        <f>HYPERLINK("https://klasma.github.io/Logging_1907/tillsyn/A 42853-2022 tillsynsbegäran.docx", "A 42853-2022")</f>
        <v/>
      </c>
      <c r="AD17">
        <f>HYPERLINK("https://klasma.github.io/Logging_1907/tillsynsmail/A 42853-2022 tillsynsbegäran mail.docx", "A 42853-2022")</f>
        <v/>
      </c>
      <c r="AE17">
        <f>HYPERLINK("https://klasma.github.io/Logging_1907/fåglar/A 42853-2022 prioriterade fågelarter.docx", "A 42853-2022")</f>
        <v/>
      </c>
    </row>
    <row r="18" ht="15" customHeight="1">
      <c r="A18" t="inlineStr">
        <is>
          <t>A 22907-2023</t>
        </is>
      </c>
      <c r="B18" t="inlineStr">
        <is>
          <t>avverkningsanmälan</t>
        </is>
      </c>
      <c r="C18" t="inlineStr">
        <is>
          <t>Föryngringsavverkning</t>
        </is>
      </c>
      <c r="D18" s="1" t="n">
        <v>45070</v>
      </c>
      <c r="E18" s="1" t="n">
        <v>46227</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t="n">
        <v>9</v>
      </c>
      <c r="V18" s="2" t="inlineStr">
        <is>
          <t>Slåtterfibbla
Svinrot
Talltita
Barkticka
Mattlummer
Spillkråka
Kungsfågel
Fläcknycklar
Grönvit nattviol
Revlummer</t>
        </is>
      </c>
      <c r="W18">
        <f>HYPERLINK("https://klasma.github.io/Logging_1907/artfynd/A 22907-2023 artfynd.xlsx", "A 22907-2023")</f>
        <v/>
      </c>
      <c r="X18">
        <f>HYPERLINK("https://klasma.github.io/Logging_1907/kartor/A 22907-2023 karta.png", "A 22907-2023")</f>
        <v/>
      </c>
      <c r="Y18">
        <f>HYPERLINK("https://klasma.github.io/Logging_1907/kartor_geotiff/A 22907-2023 georefererad karta.tif", "A 22907-2023")</f>
        <v/>
      </c>
      <c r="AA18">
        <f>HYPERLINK("https://klasma.github.io/Logging_1907/klagomål/A 22907-2023 FSC-klagomål.docx", "A 22907-2023")</f>
        <v/>
      </c>
      <c r="AB18">
        <f>HYPERLINK("https://klasma.github.io/Logging_1907/klagomålsmail/A 22907-2023 FSC-klagomål mail.docx", "A 22907-2023")</f>
        <v/>
      </c>
      <c r="AC18">
        <f>HYPERLINK("https://klasma.github.io/Logging_1907/tillsyn/A 22907-2023 tillsynsbegäran.docx", "A 22907-2023")</f>
        <v/>
      </c>
      <c r="AD18">
        <f>HYPERLINK("https://klasma.github.io/Logging_1907/tillsynsmail/A 22907-2023 tillsynsbegäran mail.docx", "A 22907-2023")</f>
        <v/>
      </c>
      <c r="AE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46227</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t="n">
        <v>0</v>
      </c>
      <c r="V19" s="2" t="inlineStr">
        <is>
          <t>Bombmurkla
Dofttaggsvamp
Talltita
Vårärt
Grönkulla
Blåsippa
Åkergroda
Nattviol
Lopplummer (aggregat)
Revlummer</t>
        </is>
      </c>
      <c r="W19">
        <f>HYPERLINK("https://klasma.github.io/Logging_1907/artfynd/A 31059-2026 artfynd.xlsx", "A 31059-2026")</f>
        <v/>
      </c>
      <c r="X19">
        <f>HYPERLINK("https://klasma.github.io/Logging_1907/kartor/A 31059-2026 karta.png", "A 31059-2026")</f>
        <v/>
      </c>
      <c r="Y19">
        <f>HYPERLINK("https://klasma.github.io/Logging_1907/kartor_geotiff/A 31059-2026 georefererad karta.tif", "A 31059-2026")</f>
        <v/>
      </c>
      <c r="AA19">
        <f>HYPERLINK("https://klasma.github.io/Logging_1907/klagomål/A 31059-2026 FSC-klagomål.docx", "A 31059-2026")</f>
        <v/>
      </c>
      <c r="AB19">
        <f>HYPERLINK("https://klasma.github.io/Logging_1907/klagomålsmail/A 31059-2026 FSC-klagomål mail.docx", "A 31059-2026")</f>
        <v/>
      </c>
      <c r="AC19">
        <f>HYPERLINK("https://klasma.github.io/Logging_1907/tillsyn/A 31059-2026 tillsynsbegäran.docx", "A 31059-2026")</f>
        <v/>
      </c>
      <c r="AD19">
        <f>HYPERLINK("https://klasma.github.io/Logging_1907/tillsynsmail/A 31059-2026 tillsynsbegäran mail.docx", "A 31059-2026")</f>
        <v/>
      </c>
      <c r="AE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46227</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46227</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46227</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46227</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38172-2024</t>
        </is>
      </c>
      <c r="B24" t="inlineStr">
        <is>
          <t>avverkningsanmälan</t>
        </is>
      </c>
      <c r="C24" t="inlineStr">
        <is>
          <t>Avverkning för att bevara och utveckla /försöksver</t>
        </is>
      </c>
      <c r="D24" s="1" t="n">
        <v>45545</v>
      </c>
      <c r="E24" s="1" t="n">
        <v>46227</v>
      </c>
      <c r="F24" t="inlineStr">
        <is>
          <t>VÄSTMANLANDS LÄN</t>
        </is>
      </c>
      <c r="G24" t="inlineStr">
        <is>
          <t>SURAHAMMAR</t>
        </is>
      </c>
      <c r="H24" t="inlineStr">
        <is>
          <t>Sveaskog</t>
        </is>
      </c>
      <c r="I24" t="n">
        <v>5.2</v>
      </c>
      <c r="J24" t="n">
        <v>5</v>
      </c>
      <c r="K24" t="n">
        <v>0</v>
      </c>
      <c r="L24" t="n">
        <v>3</v>
      </c>
      <c r="M24" t="n">
        <v>1</v>
      </c>
      <c r="N24" t="n">
        <v>0</v>
      </c>
      <c r="O24" t="n">
        <v>0</v>
      </c>
      <c r="P24" t="n">
        <v>0</v>
      </c>
      <c r="Q24" t="n">
        <v>4</v>
      </c>
      <c r="R24" t="n">
        <v>1</v>
      </c>
      <c r="S24" t="n">
        <v>7</v>
      </c>
      <c r="T24" t="n">
        <v>8</v>
      </c>
      <c r="U24" t="n">
        <v>2</v>
      </c>
      <c r="V24" s="2" t="inlineStr">
        <is>
          <t>Knärot
Gropticka
Sädesärla
Vedtrappmossa
Stjärtmes
Lopplummer (aggregat)
Revlummer</t>
        </is>
      </c>
      <c r="W24">
        <f>HYPERLINK("https://klasma.github.io/Logging_1907/artfynd/A 38172-2024 artfynd.xlsx", "A 38172-2024")</f>
        <v/>
      </c>
      <c r="X24">
        <f>HYPERLINK("https://klasma.github.io/Logging_1907/kartor/A 38172-2024 karta.png", "A 38172-2024")</f>
        <v/>
      </c>
      <c r="Y24">
        <f>HYPERLINK("https://klasma.github.io/Logging_1907/kartor_geotiff/A 38172-2024 georefererad karta.tif", "A 38172-2024")</f>
        <v/>
      </c>
      <c r="Z24">
        <f>HYPERLINK("https://klasma.github.io/Logging_1907/knärot/A 38172-2024 karta knärot.png", "A 38172-2024")</f>
        <v/>
      </c>
      <c r="AA24">
        <f>HYPERLINK("https://klasma.github.io/Logging_1907/klagomål/A 38172-2024 FSC-klagomål.docx", "A 38172-2024")</f>
        <v/>
      </c>
      <c r="AB24">
        <f>HYPERLINK("https://klasma.github.io/Logging_1907/klagomålsmail/A 38172-2024 FSC-klagomål mail.docx", "A 38172-2024")</f>
        <v/>
      </c>
      <c r="AC24">
        <f>HYPERLINK("https://klasma.github.io/Logging_1907/tillsyn/A 38172-2024 tillsynsbegäran.docx", "A 38172-2024")</f>
        <v/>
      </c>
      <c r="AD24">
        <f>HYPERLINK("https://klasma.github.io/Logging_1907/tillsynsmail/A 38172-2024 tillsynsbegäran mail.docx", "A 38172-2024")</f>
        <v/>
      </c>
      <c r="AE24">
        <f>HYPERLINK("https://klasma.github.io/Logging_1907/fåglar/A 38172-2024 prioriterade fågelarter.docx", "A 38172-2024")</f>
        <v/>
      </c>
    </row>
    <row r="25" ht="15" customHeight="1">
      <c r="A25" t="inlineStr">
        <is>
          <t>A 56299-2021</t>
        </is>
      </c>
      <c r="B25" t="inlineStr">
        <is>
          <t>avverkningsanmälan</t>
        </is>
      </c>
      <c r="C25" t="inlineStr">
        <is>
          <t>Föryngringsavverkning</t>
        </is>
      </c>
      <c r="D25" s="1" t="n">
        <v>44477</v>
      </c>
      <c r="E25" s="1" t="n">
        <v>46227</v>
      </c>
      <c r="F25" t="inlineStr">
        <is>
          <t>VÄSTMANLANDS LÄN</t>
        </is>
      </c>
      <c r="G25" t="inlineStr">
        <is>
          <t>SURAHAMMAR</t>
        </is>
      </c>
      <c r="H25" t="inlineStr">
        <is>
          <t>Bergvik skog väst AB</t>
        </is>
      </c>
      <c r="I25" t="n">
        <v>8</v>
      </c>
      <c r="J25" t="n">
        <v>2</v>
      </c>
      <c r="K25" t="n">
        <v>4</v>
      </c>
      <c r="L25" t="n">
        <v>2</v>
      </c>
      <c r="M25" t="n">
        <v>0</v>
      </c>
      <c r="N25" t="n">
        <v>0</v>
      </c>
      <c r="O25" t="n">
        <v>0</v>
      </c>
      <c r="P25" t="n">
        <v>0</v>
      </c>
      <c r="Q25" t="n">
        <v>2</v>
      </c>
      <c r="R25" t="n">
        <v>0</v>
      </c>
      <c r="S25" t="n">
        <v>7</v>
      </c>
      <c r="T25" t="n">
        <v>7</v>
      </c>
      <c r="U25" t="n">
        <v>1</v>
      </c>
      <c r="V25" s="2" t="inlineStr">
        <is>
          <t>Större flatbagge
Tretåig hackspett
Björksplintborre
Blodticka
Korallblylav
Skinnlav
Kungsfågel</t>
        </is>
      </c>
      <c r="W25">
        <f>HYPERLINK("https://klasma.github.io/Logging_1907/artfynd/A 56299-2021 artfynd.xlsx", "A 56299-2021")</f>
        <v/>
      </c>
      <c r="X25">
        <f>HYPERLINK("https://klasma.github.io/Logging_1907/kartor/A 56299-2021 karta.png", "A 56299-2021")</f>
        <v/>
      </c>
      <c r="Y25">
        <f>HYPERLINK("https://klasma.github.io/Logging_1907/kartor_geotiff/A 56299-2021 georefererad karta.tif", "A 56299-2021")</f>
        <v/>
      </c>
      <c r="AA25">
        <f>HYPERLINK("https://klasma.github.io/Logging_1907/klagomål/A 56299-2021 FSC-klagomål.docx", "A 56299-2021")</f>
        <v/>
      </c>
      <c r="AB25">
        <f>HYPERLINK("https://klasma.github.io/Logging_1907/klagomålsmail/A 56299-2021 FSC-klagomål mail.docx", "A 56299-2021")</f>
        <v/>
      </c>
      <c r="AC25">
        <f>HYPERLINK("https://klasma.github.io/Logging_1907/tillsyn/A 56299-2021 tillsynsbegäran.docx", "A 56299-2021")</f>
        <v/>
      </c>
      <c r="AD25">
        <f>HYPERLINK("https://klasma.github.io/Logging_1907/tillsynsmail/A 56299-2021 tillsynsbegäran mail.docx", "A 56299-2021")</f>
        <v/>
      </c>
      <c r="AE25">
        <f>HYPERLINK("https://klasma.github.io/Logging_1907/fåglar/A 56299-2021 prioriterade fågelarter.docx", "A 56299-2021")</f>
        <v/>
      </c>
    </row>
    <row r="26" ht="15" customHeight="1">
      <c r="A26" t="inlineStr">
        <is>
          <t>A 48891-2023</t>
        </is>
      </c>
      <c r="B26" t="inlineStr">
        <is>
          <t>avverkningsanmälan</t>
        </is>
      </c>
      <c r="C26" t="inlineStr">
        <is>
          <t>Föryngringsavverkning</t>
        </is>
      </c>
      <c r="D26" s="1" t="n">
        <v>45203</v>
      </c>
      <c r="E26" s="1" t="n">
        <v>46227</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22840-2023</t>
        </is>
      </c>
      <c r="B27" t="inlineStr">
        <is>
          <t>avverkningsanmälan</t>
        </is>
      </c>
      <c r="C27" t="inlineStr">
        <is>
          <t>Föryngringsavverkning</t>
        </is>
      </c>
      <c r="D27" s="1" t="n">
        <v>45072</v>
      </c>
      <c r="E27" s="1" t="n">
        <v>46227</v>
      </c>
      <c r="F27" t="inlineStr">
        <is>
          <t>VÄSTMANLANDS LÄN</t>
        </is>
      </c>
      <c r="G27" t="inlineStr">
        <is>
          <t>SURAHAMMAR</t>
        </is>
      </c>
      <c r="I27" t="n">
        <v>4.3</v>
      </c>
      <c r="J27" t="n">
        <v>2</v>
      </c>
      <c r="K27" t="n">
        <v>0</v>
      </c>
      <c r="L27" t="n">
        <v>0</v>
      </c>
      <c r="M27" t="n">
        <v>0</v>
      </c>
      <c r="N27" t="n">
        <v>0</v>
      </c>
      <c r="O27" t="n">
        <v>0</v>
      </c>
      <c r="P27" t="n">
        <v>0</v>
      </c>
      <c r="Q27" t="n">
        <v>0</v>
      </c>
      <c r="R27" t="n">
        <v>0</v>
      </c>
      <c r="S27" t="n">
        <v>7</v>
      </c>
      <c r="T27" t="n">
        <v>10</v>
      </c>
      <c r="U27" t="n">
        <v>9</v>
      </c>
      <c r="V27" s="2" t="inlineStr">
        <is>
          <t>Hultbräken
Kärrviol
Mattlummer
Skogsstjärna
Stjärnstarr
Vitsippa
Fläcknycklar</t>
        </is>
      </c>
      <c r="W27">
        <f>HYPERLINK("https://klasma.github.io/Logging_1907/artfynd/A 22840-2023 artfynd.xlsx", "A 22840-2023")</f>
        <v/>
      </c>
      <c r="X27">
        <f>HYPERLINK("https://klasma.github.io/Logging_1907/kartor/A 22840-2023 karta.png", "A 22840-2023")</f>
        <v/>
      </c>
      <c r="Y27">
        <f>HYPERLINK("https://klasma.github.io/Logging_1907/kartor_geotiff/A 22840-2023 georefererad karta.tif", "A 22840-2023")</f>
        <v/>
      </c>
      <c r="AA27">
        <f>HYPERLINK("https://klasma.github.io/Logging_1907/klagomål/A 22840-2023 FSC-klagomål.docx", "A 22840-2023")</f>
        <v/>
      </c>
      <c r="AB27">
        <f>HYPERLINK("https://klasma.github.io/Logging_1907/klagomålsmail/A 22840-2023 FSC-klagomål mail.docx", "A 22840-2023")</f>
        <v/>
      </c>
      <c r="AC27">
        <f>HYPERLINK("https://klasma.github.io/Logging_1907/tillsyn/A 22840-2023 tillsynsbegäran.docx", "A 22840-2023")</f>
        <v/>
      </c>
      <c r="AD27">
        <f>HYPERLINK("https://klasma.github.io/Logging_1907/tillsynsmail/A 22840-2023 tillsynsbegäran mail.docx", "A 22840-2023")</f>
        <v/>
      </c>
    </row>
    <row r="28" ht="15" customHeight="1">
      <c r="A28" t="inlineStr">
        <is>
          <t>S 2882-2025</t>
        </is>
      </c>
      <c r="B28" t="inlineStr">
        <is>
          <t>samrådsanmälan</t>
        </is>
      </c>
      <c r="C28" t="inlineStr">
        <is>
          <t>Annan skogsbruksåtgärd</t>
        </is>
      </c>
      <c r="D28" s="1" t="n">
        <v>45945</v>
      </c>
      <c r="E28" s="1" t="n">
        <v>46227</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46227</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63145-2025</t>
        </is>
      </c>
      <c r="B30" t="inlineStr">
        <is>
          <t>avverkningsanmälan</t>
        </is>
      </c>
      <c r="C30" t="inlineStr">
        <is>
          <t>Föryngringsavverkning</t>
        </is>
      </c>
      <c r="D30" s="1" t="n">
        <v>46009</v>
      </c>
      <c r="E30" s="1" t="n">
        <v>46227</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t="n">
        <v>0</v>
      </c>
      <c r="V30" s="2" t="inlineStr">
        <is>
          <t>Väddnätfjäril
Mindre hackspett
Talltita
Svart trolldruva
Kungsfågel
Nattviol</t>
        </is>
      </c>
      <c r="W30">
        <f>HYPERLINK("https://klasma.github.io/Logging_1907/artfynd/A 63145-2025 artfynd.xlsx", "A 63145-2025")</f>
        <v/>
      </c>
      <c r="X30">
        <f>HYPERLINK("https://klasma.github.io/Logging_1907/kartor/A 63145-2025 karta.png", "A 63145-2025")</f>
        <v/>
      </c>
      <c r="Y30">
        <f>HYPERLINK("https://klasma.github.io/Logging_1907/kartor_geotiff/A 63145-2025 georefererad karta.tif", "A 63145-2025")</f>
        <v/>
      </c>
      <c r="AA30">
        <f>HYPERLINK("https://klasma.github.io/Logging_1907/klagomål/A 63145-2025 FSC-klagomål.docx", "A 63145-2025")</f>
        <v/>
      </c>
      <c r="AB30">
        <f>HYPERLINK("https://klasma.github.io/Logging_1907/klagomålsmail/A 63145-2025 FSC-klagomål mail.docx", "A 63145-2025")</f>
        <v/>
      </c>
      <c r="AC30">
        <f>HYPERLINK("https://klasma.github.io/Logging_1907/tillsyn/A 63145-2025 tillsynsbegäran.docx", "A 63145-2025")</f>
        <v/>
      </c>
      <c r="AD30">
        <f>HYPERLINK("https://klasma.github.io/Logging_1907/tillsynsmail/A 63145-2025 tillsynsbegäran mail.docx", "A 63145-2025")</f>
        <v/>
      </c>
      <c r="AE30">
        <f>HYPERLINK("https://klasma.github.io/Logging_1907/fåglar/A 63145-2025 prioriterade fågelarter.docx", "A 63145-2025")</f>
        <v/>
      </c>
    </row>
    <row r="31" ht="15" customHeight="1">
      <c r="A31" t="inlineStr">
        <is>
          <t>A 10236-2026</t>
        </is>
      </c>
      <c r="B31" t="inlineStr">
        <is>
          <t>avverkningsanmälan</t>
        </is>
      </c>
      <c r="C31" t="inlineStr">
        <is>
          <t>Föryngringsavverkning</t>
        </is>
      </c>
      <c r="D31" s="1" t="n">
        <v>46076</v>
      </c>
      <c r="E31" s="1" t="n">
        <v>46227</v>
      </c>
      <c r="F31" t="inlineStr">
        <is>
          <t>VÄSTMANLANDS LÄN</t>
        </is>
      </c>
      <c r="G31" t="inlineStr">
        <is>
          <t>SURAHAMMAR</t>
        </is>
      </c>
      <c r="H31" t="inlineStr">
        <is>
          <t>Allmännings- och besparingsskogar</t>
        </is>
      </c>
      <c r="I31" t="n">
        <v>2.8</v>
      </c>
      <c r="J31" t="n">
        <v>2</v>
      </c>
      <c r="K31" t="n">
        <v>2</v>
      </c>
      <c r="L31" t="n">
        <v>2</v>
      </c>
      <c r="M31" t="n">
        <v>0</v>
      </c>
      <c r="N31" t="n">
        <v>0</v>
      </c>
      <c r="O31" t="n">
        <v>0</v>
      </c>
      <c r="P31" t="n">
        <v>0</v>
      </c>
      <c r="Q31" t="n">
        <v>2</v>
      </c>
      <c r="R31" t="n">
        <v>0</v>
      </c>
      <c r="S31" t="n">
        <v>6</v>
      </c>
      <c r="T31" t="n">
        <v>13</v>
      </c>
      <c r="U31" t="n">
        <v>0</v>
      </c>
      <c r="V31" s="2" t="inlineStr">
        <is>
          <t>Gullpudra
Vågticka
Brandticka
Strutbräken
Lopplummer (aggregat)
Revlummer</t>
        </is>
      </c>
      <c r="W31">
        <f>HYPERLINK("https://klasma.github.io/Logging_1907/artfynd/A 10236-2026 artfynd.xlsx", "A 10236-2026")</f>
        <v/>
      </c>
      <c r="X31">
        <f>HYPERLINK("https://klasma.github.io/Logging_1907/kartor/A 10236-2026 karta.png", "A 10236-2026")</f>
        <v/>
      </c>
      <c r="Y31">
        <f>HYPERLINK("https://klasma.github.io/Logging_1907/kartor_geotiff/A 10236-2026 georefererad karta.tif", "A 10236-2026")</f>
        <v/>
      </c>
      <c r="AA31">
        <f>HYPERLINK("https://klasma.github.io/Logging_1907/klagomål/A 10236-2026 FSC-klagomål.docx", "A 10236-2026")</f>
        <v/>
      </c>
      <c r="AB31">
        <f>HYPERLINK("https://klasma.github.io/Logging_1907/klagomålsmail/A 10236-2026 FSC-klagomål mail.docx", "A 10236-2026")</f>
        <v/>
      </c>
      <c r="AC31">
        <f>HYPERLINK("https://klasma.github.io/Logging_1907/tillsyn/A 10236-2026 tillsynsbegäran.docx", "A 10236-2026")</f>
        <v/>
      </c>
      <c r="AD31">
        <f>HYPERLINK("https://klasma.github.io/Logging_1907/tillsynsmail/A 10236-2026 tillsynsbegäran mail.docx", "A 10236-2026")</f>
        <v/>
      </c>
    </row>
    <row r="32" ht="15" customHeight="1">
      <c r="A32" t="inlineStr">
        <is>
          <t>A 31060-2026</t>
        </is>
      </c>
      <c r="B32" t="inlineStr">
        <is>
          <t>avverkningsanmälan</t>
        </is>
      </c>
      <c r="C32" t="inlineStr">
        <is>
          <t>Föryngringsavverkning</t>
        </is>
      </c>
      <c r="D32" s="1" t="n">
        <v>46215</v>
      </c>
      <c r="E32" s="1" t="n">
        <v>46227</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46227</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46227</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t="n">
        <v>4</v>
      </c>
      <c r="V34" s="2" t="inlineStr">
        <is>
          <t>Knärot
Talltita
Vedticka
Spillkråka
Tallbit</t>
        </is>
      </c>
      <c r="W34">
        <f>HYPERLINK("https://klasma.github.io/Logging_1907/artfynd/A 21716-2025 artfynd.xlsx", "A 21716-2025")</f>
        <v/>
      </c>
      <c r="X34">
        <f>HYPERLINK("https://klasma.github.io/Logging_1907/kartor/A 21716-2025 karta.png", "A 21716-2025")</f>
        <v/>
      </c>
      <c r="Y34">
        <f>HYPERLINK("https://klasma.github.io/Logging_1907/kartor_geotiff/A 21716-2025 georefererad karta.tif", "A 21716-2025")</f>
        <v/>
      </c>
      <c r="Z34">
        <f>HYPERLINK("https://klasma.github.io/Logging_1907/knärot/A 21716-2025 karta knärot.png", "A 21716-2025")</f>
        <v/>
      </c>
      <c r="AA34">
        <f>HYPERLINK("https://klasma.github.io/Logging_1907/klagomål/A 21716-2025 FSC-klagomål.docx", "A 21716-2025")</f>
        <v/>
      </c>
      <c r="AB34">
        <f>HYPERLINK("https://klasma.github.io/Logging_1907/klagomålsmail/A 21716-2025 FSC-klagomål mail.docx", "A 21716-2025")</f>
        <v/>
      </c>
      <c r="AC34">
        <f>HYPERLINK("https://klasma.github.io/Logging_1907/tillsyn/A 21716-2025 tillsynsbegäran.docx", "A 21716-2025")</f>
        <v/>
      </c>
      <c r="AD34">
        <f>HYPERLINK("https://klasma.github.io/Logging_1907/tillsynsmail/A 21716-2025 tillsynsbegäran mail.docx", "A 21716-2025")</f>
        <v/>
      </c>
      <c r="AE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46227</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46227</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46227</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t="n">
        <v>0</v>
      </c>
      <c r="V37" s="2" t="inlineStr">
        <is>
          <t>Svinrot
Veckticka
Grönvit nattviol
Nattviol</t>
        </is>
      </c>
      <c r="W37">
        <f>HYPERLINK("https://klasma.github.io/Logging_1907/artfynd/A 37801-2021 artfynd.xlsx", "A 37801-2021")</f>
        <v/>
      </c>
      <c r="X37">
        <f>HYPERLINK("https://klasma.github.io/Logging_1907/kartor/A 37801-2021 karta.png", "A 37801-2021")</f>
        <v/>
      </c>
      <c r="Y37">
        <f>HYPERLINK("https://klasma.github.io/Logging_1907/kartor_geotiff/A 37801-2021 georefererad karta.tif", "A 37801-2021")</f>
        <v/>
      </c>
      <c r="AA37">
        <f>HYPERLINK("https://klasma.github.io/Logging_1907/klagomål/A 37801-2021 FSC-klagomål.docx", "A 37801-2021")</f>
        <v/>
      </c>
      <c r="AB37">
        <f>HYPERLINK("https://klasma.github.io/Logging_1907/klagomålsmail/A 37801-2021 FSC-klagomål mail.docx", "A 37801-2021")</f>
        <v/>
      </c>
      <c r="AC37">
        <f>HYPERLINK("https://klasma.github.io/Logging_1907/tillsyn/A 37801-2021 tillsynsbegäran.docx", "A 37801-2021")</f>
        <v/>
      </c>
      <c r="AD37">
        <f>HYPERLINK("https://klasma.github.io/Logging_1907/tillsynsmail/A 37801-2021 tillsynsbegäran mail.docx", "A 37801-2021")</f>
        <v/>
      </c>
    </row>
    <row r="38" ht="15" customHeight="1">
      <c r="A38" t="inlineStr">
        <is>
          <t>A 25548-2024</t>
        </is>
      </c>
      <c r="B38" t="inlineStr">
        <is>
          <t>avverkningsanmälan</t>
        </is>
      </c>
      <c r="C38" t="inlineStr">
        <is>
          <t>Föryngringsavverkning</t>
        </is>
      </c>
      <c r="D38" s="1" t="n">
        <v>45463</v>
      </c>
      <c r="E38" s="1" t="n">
        <v>46227</v>
      </c>
      <c r="F38" t="inlineStr">
        <is>
          <t>VÄSTMANLANDS LÄN</t>
        </is>
      </c>
      <c r="G38" t="inlineStr">
        <is>
          <t>SURAHAMMAR</t>
        </is>
      </c>
      <c r="H38" t="inlineStr">
        <is>
          <t>Bergvik skog väst AB</t>
        </is>
      </c>
      <c r="I38" t="n">
        <v>5.1</v>
      </c>
      <c r="J38" t="n">
        <v>3</v>
      </c>
      <c r="K38" t="n">
        <v>1</v>
      </c>
      <c r="L38" t="n">
        <v>0</v>
      </c>
      <c r="M38" t="n">
        <v>1</v>
      </c>
      <c r="N38" t="n">
        <v>0</v>
      </c>
      <c r="O38" t="n">
        <v>0</v>
      </c>
      <c r="P38" t="n">
        <v>0</v>
      </c>
      <c r="Q38" t="n">
        <v>1</v>
      </c>
      <c r="R38" t="n">
        <v>1</v>
      </c>
      <c r="S38" t="n">
        <v>4</v>
      </c>
      <c r="T38" t="n">
        <v>9</v>
      </c>
      <c r="U38" t="n">
        <v>6</v>
      </c>
      <c r="V38" s="2" t="inlineStr">
        <is>
          <t>Knärot
Vedticka
Fläcknycklar
Nattviol</t>
        </is>
      </c>
      <c r="W38">
        <f>HYPERLINK("https://klasma.github.io/Logging_1907/artfynd/A 25548-2024 artfynd.xlsx", "A 25548-2024")</f>
        <v/>
      </c>
      <c r="X38">
        <f>HYPERLINK("https://klasma.github.io/Logging_1907/kartor/A 25548-2024 karta.png", "A 25548-2024")</f>
        <v/>
      </c>
      <c r="Y38">
        <f>HYPERLINK("https://klasma.github.io/Logging_1907/kartor_geotiff/A 25548-2024 georefererad karta.tif", "A 25548-2024")</f>
        <v/>
      </c>
      <c r="Z38">
        <f>HYPERLINK("https://klasma.github.io/Logging_1907/knärot/A 25548-2024 karta knärot.png", "A 25548-2024")</f>
        <v/>
      </c>
      <c r="AA38">
        <f>HYPERLINK("https://klasma.github.io/Logging_1907/klagomål/A 25548-2024 FSC-klagomål.docx", "A 25548-2024")</f>
        <v/>
      </c>
      <c r="AB38">
        <f>HYPERLINK("https://klasma.github.io/Logging_1907/klagomålsmail/A 25548-2024 FSC-klagomål mail.docx", "A 25548-2024")</f>
        <v/>
      </c>
      <c r="AC38">
        <f>HYPERLINK("https://klasma.github.io/Logging_1907/tillsyn/A 25548-2024 tillsynsbegäran.docx", "A 25548-2024")</f>
        <v/>
      </c>
      <c r="AD38">
        <f>HYPERLINK("https://klasma.github.io/Logging_1907/tillsynsmail/A 25548-2024 tillsynsbegäran mail.docx", "A 25548-2024")</f>
        <v/>
      </c>
    </row>
    <row r="39" ht="15" customHeight="1">
      <c r="A39" t="inlineStr">
        <is>
          <t>A 10819-2024</t>
        </is>
      </c>
      <c r="B39" t="inlineStr">
        <is>
          <t>avverkningsanmälan</t>
        </is>
      </c>
      <c r="C39" t="inlineStr">
        <is>
          <t>Föryngringsavverkning</t>
        </is>
      </c>
      <c r="D39" s="1" t="n">
        <v>45369</v>
      </c>
      <c r="E39" s="1" t="n">
        <v>46227</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40411-2021</t>
        </is>
      </c>
      <c r="B40" t="inlineStr">
        <is>
          <t>avverkningsanmälan</t>
        </is>
      </c>
      <c r="C40" t="inlineStr">
        <is>
          <t>Föryngringsavverkning</t>
        </is>
      </c>
      <c r="D40" s="1" t="n">
        <v>44419</v>
      </c>
      <c r="E40" s="1" t="n">
        <v>46227</v>
      </c>
      <c r="F40" t="inlineStr">
        <is>
          <t>VÄSTMANLANDS LÄN</t>
        </is>
      </c>
      <c r="G40" t="inlineStr">
        <is>
          <t>SURAHAMMAR</t>
        </is>
      </c>
      <c r="H40" t="inlineStr">
        <is>
          <t>Sveaskog</t>
        </is>
      </c>
      <c r="I40" t="n">
        <v>2.4</v>
      </c>
      <c r="J40" t="n">
        <v>1</v>
      </c>
      <c r="K40" t="n">
        <v>0</v>
      </c>
      <c r="L40" t="n">
        <v>1</v>
      </c>
      <c r="M40" t="n">
        <v>1</v>
      </c>
      <c r="N40" t="n">
        <v>0</v>
      </c>
      <c r="O40" t="n">
        <v>0</v>
      </c>
      <c r="P40" t="n">
        <v>0</v>
      </c>
      <c r="Q40" t="n">
        <v>2</v>
      </c>
      <c r="R40" t="n">
        <v>1</v>
      </c>
      <c r="S40" t="n">
        <v>4</v>
      </c>
      <c r="T40" t="n">
        <v>4</v>
      </c>
      <c r="U40" t="n">
        <v>1</v>
      </c>
      <c r="V40" s="2" t="inlineStr">
        <is>
          <t>Brunfläckig pärlemorfjäril
Pilblad
Hässlebrodd
Kopparödla</t>
        </is>
      </c>
      <c r="W40">
        <f>HYPERLINK("https://klasma.github.io/Logging_1907/artfynd/A 40411-2021 artfynd.xlsx", "A 40411-2021")</f>
        <v/>
      </c>
      <c r="X40">
        <f>HYPERLINK("https://klasma.github.io/Logging_1907/kartor/A 40411-2021 karta.png", "A 40411-2021")</f>
        <v/>
      </c>
      <c r="Y40">
        <f>HYPERLINK("https://klasma.github.io/Logging_1907/kartor_geotiff/A 40411-2021 georefererad karta.tif", "A 40411-2021")</f>
        <v/>
      </c>
      <c r="AA40">
        <f>HYPERLINK("https://klasma.github.io/Logging_1907/klagomål/A 40411-2021 FSC-klagomål.docx", "A 40411-2021")</f>
        <v/>
      </c>
      <c r="AB40">
        <f>HYPERLINK("https://klasma.github.io/Logging_1907/klagomålsmail/A 40411-2021 FSC-klagomål mail.docx", "A 40411-2021")</f>
        <v/>
      </c>
      <c r="AC40">
        <f>HYPERLINK("https://klasma.github.io/Logging_1907/tillsyn/A 40411-2021 tillsynsbegäran.docx", "A 40411-2021")</f>
        <v/>
      </c>
      <c r="AD40">
        <f>HYPERLINK("https://klasma.github.io/Logging_1907/tillsynsmail/A 40411-2021 tillsynsbegäran mail.docx", "A 40411-2021")</f>
        <v/>
      </c>
    </row>
    <row r="41" ht="15" customHeight="1">
      <c r="A41" t="inlineStr">
        <is>
          <t>A 31176-2024</t>
        </is>
      </c>
      <c r="B41" t="inlineStr">
        <is>
          <t>avverkningsanmälan</t>
        </is>
      </c>
      <c r="C41" t="inlineStr">
        <is>
          <t>Föryngringsavverkning</t>
        </is>
      </c>
      <c r="D41" s="1" t="n">
        <v>45503</v>
      </c>
      <c r="E41" s="1" t="n">
        <v>46227</v>
      </c>
      <c r="F41" t="inlineStr">
        <is>
          <t>VÄSTMANLANDS LÄN</t>
        </is>
      </c>
      <c r="G41" t="inlineStr">
        <is>
          <t>SURAHAMMAR</t>
        </is>
      </c>
      <c r="H41" t="inlineStr">
        <is>
          <t>Allmännings- och besparingsskogar</t>
        </is>
      </c>
      <c r="I41" t="n">
        <v>10.7</v>
      </c>
      <c r="J41" t="n">
        <v>2</v>
      </c>
      <c r="K41" t="n">
        <v>0</v>
      </c>
      <c r="L41" t="n">
        <v>2</v>
      </c>
      <c r="M41" t="n">
        <v>0</v>
      </c>
      <c r="N41" t="n">
        <v>0</v>
      </c>
      <c r="O41" t="n">
        <v>0</v>
      </c>
      <c r="P41" t="n">
        <v>0</v>
      </c>
      <c r="Q41" t="n">
        <v>2</v>
      </c>
      <c r="R41" t="n">
        <v>0</v>
      </c>
      <c r="S41" t="n">
        <v>4</v>
      </c>
      <c r="T41" t="n">
        <v>4</v>
      </c>
      <c r="U41" t="n">
        <v>4</v>
      </c>
      <c r="V41" s="2" t="inlineStr">
        <is>
          <t>Doftskinn
Ullticka
Tjäder
Fläcknycklar</t>
        </is>
      </c>
      <c r="W41">
        <f>HYPERLINK("https://klasma.github.io/Logging_1907/artfynd/A 31176-2024 artfynd.xlsx", "A 31176-2024")</f>
        <v/>
      </c>
      <c r="X41">
        <f>HYPERLINK("https://klasma.github.io/Logging_1907/kartor/A 31176-2024 karta.png", "A 31176-2024")</f>
        <v/>
      </c>
      <c r="Y41">
        <f>HYPERLINK("https://klasma.github.io/Logging_1907/kartor_geotiff/A 31176-2024 georefererad karta.tif", "A 31176-2024")</f>
        <v/>
      </c>
      <c r="AA41">
        <f>HYPERLINK("https://klasma.github.io/Logging_1907/klagomål/A 31176-2024 FSC-klagomål.docx", "A 31176-2024")</f>
        <v/>
      </c>
      <c r="AB41">
        <f>HYPERLINK("https://klasma.github.io/Logging_1907/klagomålsmail/A 31176-2024 FSC-klagomål mail.docx", "A 31176-2024")</f>
        <v/>
      </c>
      <c r="AC41">
        <f>HYPERLINK("https://klasma.github.io/Logging_1907/tillsyn/A 31176-2024 tillsynsbegäran.docx", "A 31176-2024")</f>
        <v/>
      </c>
      <c r="AD41">
        <f>HYPERLINK("https://klasma.github.io/Logging_1907/tillsynsmail/A 31176-2024 tillsynsbegäran mail.docx", "A 31176-2024")</f>
        <v/>
      </c>
      <c r="AE41">
        <f>HYPERLINK("https://klasma.github.io/Logging_1907/fåglar/A 31176-2024 prioriterade fågelarter.docx", "A 31176-2024")</f>
        <v/>
      </c>
    </row>
    <row r="42" ht="15" customHeight="1">
      <c r="A42" t="inlineStr">
        <is>
          <t>A 37800-2021</t>
        </is>
      </c>
      <c r="B42" t="inlineStr">
        <is>
          <t>avverkningsanmälan</t>
        </is>
      </c>
      <c r="C42" t="inlineStr">
        <is>
          <t>Föryngringsavverkning</t>
        </is>
      </c>
      <c r="D42" s="1" t="n">
        <v>44402</v>
      </c>
      <c r="E42" s="1" t="n">
        <v>46227</v>
      </c>
      <c r="F42" t="inlineStr">
        <is>
          <t>VÄSTMANLANDS LÄN</t>
        </is>
      </c>
      <c r="G42" t="inlineStr">
        <is>
          <t>SURAHAMMAR</t>
        </is>
      </c>
      <c r="H42" t="inlineStr">
        <is>
          <t>Kommuner</t>
        </is>
      </c>
      <c r="I42" t="n">
        <v>1.3</v>
      </c>
      <c r="J42" t="n">
        <v>2</v>
      </c>
      <c r="K42" t="n">
        <v>0</v>
      </c>
      <c r="L42" t="n">
        <v>2</v>
      </c>
      <c r="M42" t="n">
        <v>0</v>
      </c>
      <c r="N42" t="n">
        <v>0</v>
      </c>
      <c r="O42" t="n">
        <v>0</v>
      </c>
      <c r="P42" t="n">
        <v>0</v>
      </c>
      <c r="Q42" t="n">
        <v>2</v>
      </c>
      <c r="R42" t="n">
        <v>0</v>
      </c>
      <c r="S42" t="n">
        <v>4</v>
      </c>
      <c r="T42" t="n">
        <v>4</v>
      </c>
      <c r="U42" t="n">
        <v>0</v>
      </c>
      <c r="V42" s="2" t="inlineStr">
        <is>
          <t>Svinrot
Veckticka
Grönvit nattviol
Nattviol</t>
        </is>
      </c>
      <c r="W42">
        <f>HYPERLINK("https://klasma.github.io/Logging_1907/artfynd/A 37800-2021 artfynd.xlsx", "A 37800-2021")</f>
        <v/>
      </c>
      <c r="X42">
        <f>HYPERLINK("https://klasma.github.io/Logging_1907/kartor/A 37800-2021 karta.png", "A 37800-2021")</f>
        <v/>
      </c>
      <c r="Y42">
        <f>HYPERLINK("https://klasma.github.io/Logging_1907/kartor_geotiff/A 37800-2021 georefererad karta.tif", "A 37800-2021")</f>
        <v/>
      </c>
      <c r="AA42">
        <f>HYPERLINK("https://klasma.github.io/Logging_1907/klagomål/A 37800-2021 FSC-klagomål.docx", "A 37800-2021")</f>
        <v/>
      </c>
      <c r="AB42">
        <f>HYPERLINK("https://klasma.github.io/Logging_1907/klagomålsmail/A 37800-2021 FSC-klagomål mail.docx", "A 37800-2021")</f>
        <v/>
      </c>
      <c r="AC42">
        <f>HYPERLINK("https://klasma.github.io/Logging_1907/tillsyn/A 37800-2021 tillsynsbegäran.docx", "A 37800-2021")</f>
        <v/>
      </c>
      <c r="AD42">
        <f>HYPERLINK("https://klasma.github.io/Logging_1907/tillsynsmail/A 37800-2021 tillsynsbegäran mail.docx", "A 37800-2021")</f>
        <v/>
      </c>
    </row>
    <row r="43" ht="15" customHeight="1">
      <c r="A43" t="inlineStr">
        <is>
          <t>A 66350-2021</t>
        </is>
      </c>
      <c r="B43" t="inlineStr">
        <is>
          <t>avverkningsanmälan</t>
        </is>
      </c>
      <c r="C43" t="inlineStr">
        <is>
          <t>Föryngringsavverkning</t>
        </is>
      </c>
      <c r="D43" s="1" t="n">
        <v>44518</v>
      </c>
      <c r="E43" s="1" t="n">
        <v>46227</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t="n">
        <v>3</v>
      </c>
      <c r="V43" s="2" t="inlineStr">
        <is>
          <t>Järnsparv
Kråka
Skogsduva</t>
        </is>
      </c>
      <c r="W43">
        <f>HYPERLINK("https://klasma.github.io/Logging_1907/artfynd/A 66350-2021 artfynd.xlsx", "A 66350-2021")</f>
        <v/>
      </c>
      <c r="X43">
        <f>HYPERLINK("https://klasma.github.io/Logging_1907/kartor/A 66350-2021 karta.png", "A 66350-2021")</f>
        <v/>
      </c>
      <c r="Y43">
        <f>HYPERLINK("https://klasma.github.io/Logging_1907/kartor_geotiff/A 66350-2021 georefererad karta.tif", "A 66350-2021")</f>
        <v/>
      </c>
      <c r="AA43">
        <f>HYPERLINK("https://klasma.github.io/Logging_1907/klagomål/A 66350-2021 FSC-klagomål.docx", "A 66350-2021")</f>
        <v/>
      </c>
      <c r="AB43">
        <f>HYPERLINK("https://klasma.github.io/Logging_1907/klagomålsmail/A 66350-2021 FSC-klagomål mail.docx", "A 66350-2021")</f>
        <v/>
      </c>
      <c r="AC43">
        <f>HYPERLINK("https://klasma.github.io/Logging_1907/tillsyn/A 66350-2021 tillsynsbegäran.docx", "A 66350-2021")</f>
        <v/>
      </c>
      <c r="AD43">
        <f>HYPERLINK("https://klasma.github.io/Logging_1907/tillsynsmail/A 66350-2021 tillsynsbegäran mail.docx", "A 66350-2021")</f>
        <v/>
      </c>
      <c r="AE43">
        <f>HYPERLINK("https://klasma.github.io/Logging_1907/fåglar/A 66350-2021 prioriterade fågelarter.docx", "A 66350-2021")</f>
        <v/>
      </c>
    </row>
    <row r="44" ht="15" customHeight="1">
      <c r="A44" t="inlineStr">
        <is>
          <t>A 38200-2021</t>
        </is>
      </c>
      <c r="B44" t="inlineStr">
        <is>
          <t>avverkningsanmälan</t>
        </is>
      </c>
      <c r="C44" t="inlineStr">
        <is>
          <t>Föryngringsavverkning</t>
        </is>
      </c>
      <c r="D44" s="1" t="n">
        <v>44405</v>
      </c>
      <c r="E44" s="1" t="n">
        <v>46227</v>
      </c>
      <c r="F44" t="inlineStr">
        <is>
          <t>VÄSTMANLANDS LÄN</t>
        </is>
      </c>
      <c r="G44" t="inlineStr">
        <is>
          <t>SURAHAMMAR</t>
        </is>
      </c>
      <c r="H44" t="inlineStr">
        <is>
          <t>Sveaskog</t>
        </is>
      </c>
      <c r="I44" t="n">
        <v>1.5</v>
      </c>
      <c r="J44" t="n">
        <v>1</v>
      </c>
      <c r="K44" t="n">
        <v>0</v>
      </c>
      <c r="L44" t="n">
        <v>2</v>
      </c>
      <c r="M44" t="n">
        <v>0</v>
      </c>
      <c r="N44" t="n">
        <v>0</v>
      </c>
      <c r="O44" t="n">
        <v>0</v>
      </c>
      <c r="P44" t="n">
        <v>0</v>
      </c>
      <c r="Q44" t="n">
        <v>2</v>
      </c>
      <c r="R44" t="n">
        <v>0</v>
      </c>
      <c r="S44" t="n">
        <v>3</v>
      </c>
      <c r="T44" t="n">
        <v>3</v>
      </c>
      <c r="U44" t="n">
        <v>2</v>
      </c>
      <c r="V44" s="2" t="inlineStr">
        <is>
          <t>Svinrot
Vågticka
Kopparödla</t>
        </is>
      </c>
      <c r="W44">
        <f>HYPERLINK("https://klasma.github.io/Logging_1907/artfynd/A 38200-2021 artfynd.xlsx", "A 38200-2021")</f>
        <v/>
      </c>
      <c r="X44">
        <f>HYPERLINK("https://klasma.github.io/Logging_1907/kartor/A 38200-2021 karta.png", "A 38200-2021")</f>
        <v/>
      </c>
      <c r="Y44">
        <f>HYPERLINK("https://klasma.github.io/Logging_1907/kartor_geotiff/A 38200-2021 georefererad karta.tif", "A 38200-2021")</f>
        <v/>
      </c>
      <c r="AA44">
        <f>HYPERLINK("https://klasma.github.io/Logging_1907/klagomål/A 38200-2021 FSC-klagomål.docx", "A 38200-2021")</f>
        <v/>
      </c>
      <c r="AB44">
        <f>HYPERLINK("https://klasma.github.io/Logging_1907/klagomålsmail/A 38200-2021 FSC-klagomål mail.docx", "A 38200-2021")</f>
        <v/>
      </c>
      <c r="AC44">
        <f>HYPERLINK("https://klasma.github.io/Logging_1907/tillsyn/A 38200-2021 tillsynsbegäran.docx", "A 38200-2021")</f>
        <v/>
      </c>
      <c r="AD44">
        <f>HYPERLINK("https://klasma.github.io/Logging_1907/tillsynsmail/A 38200-2021 tillsynsbegäran mail.docx", "A 38200-2021")</f>
        <v/>
      </c>
    </row>
    <row r="45" ht="15" customHeight="1">
      <c r="A45" t="inlineStr">
        <is>
          <t>A 39694-2025</t>
        </is>
      </c>
      <c r="B45" t="inlineStr">
        <is>
          <t>avverkningsanmälan</t>
        </is>
      </c>
      <c r="C45" t="inlineStr">
        <is>
          <t>Föryngringsavverkning</t>
        </is>
      </c>
      <c r="D45" s="1" t="n">
        <v>45890</v>
      </c>
      <c r="E45" s="1" t="n">
        <v>46227</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69777-2021</t>
        </is>
      </c>
      <c r="B46" t="inlineStr">
        <is>
          <t>avverkningsanmälan</t>
        </is>
      </c>
      <c r="C46" t="inlineStr">
        <is>
          <t>Föryngringsavverkning</t>
        </is>
      </c>
      <c r="D46" s="1" t="n">
        <v>44532</v>
      </c>
      <c r="E46" s="1" t="n">
        <v>46227</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49718-2023</t>
        </is>
      </c>
      <c r="B47" t="inlineStr">
        <is>
          <t>avverkningsanmälan</t>
        </is>
      </c>
      <c r="C47" t="inlineStr">
        <is>
          <t>Föryngringsavverkning</t>
        </is>
      </c>
      <c r="D47" s="1" t="n">
        <v>45212</v>
      </c>
      <c r="E47" s="1" t="n">
        <v>46227</v>
      </c>
      <c r="F47" t="inlineStr">
        <is>
          <t>VÄSTMANLANDS LÄN</t>
        </is>
      </c>
      <c r="G47" t="inlineStr">
        <is>
          <t>SURAHAMMAR</t>
        </is>
      </c>
      <c r="I47" t="n">
        <v>3.4</v>
      </c>
      <c r="J47" t="n">
        <v>1</v>
      </c>
      <c r="K47" t="n">
        <v>1</v>
      </c>
      <c r="L47" t="n">
        <v>2</v>
      </c>
      <c r="M47" t="n">
        <v>0</v>
      </c>
      <c r="N47" t="n">
        <v>0</v>
      </c>
      <c r="O47" t="n">
        <v>0</v>
      </c>
      <c r="P47" t="n">
        <v>0</v>
      </c>
      <c r="Q47" t="n">
        <v>2</v>
      </c>
      <c r="R47" t="n">
        <v>0</v>
      </c>
      <c r="S47" t="n">
        <v>3</v>
      </c>
      <c r="T47" t="n">
        <v>6</v>
      </c>
      <c r="U47" t="n">
        <v>6</v>
      </c>
      <c r="V47" s="2" t="inlineStr">
        <is>
          <t>Motaggsvamp
Talltita
Zontaggsvamp</t>
        </is>
      </c>
      <c r="W47">
        <f>HYPERLINK("https://klasma.github.io/Logging_1907/artfynd/A 49718-2023 artfynd.xlsx", "A 49718-2023")</f>
        <v/>
      </c>
      <c r="X47">
        <f>HYPERLINK("https://klasma.github.io/Logging_1907/kartor/A 49718-2023 karta.png", "A 49718-2023")</f>
        <v/>
      </c>
      <c r="Y47">
        <f>HYPERLINK("https://klasma.github.io/Logging_1907/kartor_geotiff/A 49718-2023 georefererad karta.tif", "A 49718-2023")</f>
        <v/>
      </c>
      <c r="AA47">
        <f>HYPERLINK("https://klasma.github.io/Logging_1907/klagomål/A 49718-2023 FSC-klagomål.docx", "A 49718-2023")</f>
        <v/>
      </c>
      <c r="AB47">
        <f>HYPERLINK("https://klasma.github.io/Logging_1907/klagomålsmail/A 49718-2023 FSC-klagomål mail.docx", "A 49718-2023")</f>
        <v/>
      </c>
      <c r="AC47">
        <f>HYPERLINK("https://klasma.github.io/Logging_1907/tillsyn/A 49718-2023 tillsynsbegäran.docx", "A 49718-2023")</f>
        <v/>
      </c>
      <c r="AD47">
        <f>HYPERLINK("https://klasma.github.io/Logging_1907/tillsynsmail/A 49718-2023 tillsynsbegäran mail.docx", "A 49718-2023")</f>
        <v/>
      </c>
      <c r="AE47">
        <f>HYPERLINK("https://klasma.github.io/Logging_1907/fåglar/A 49718-2023 prioriterade fågelarter.docx", "A 49718-2023")</f>
        <v/>
      </c>
    </row>
    <row r="48" ht="15" customHeight="1">
      <c r="A48" t="inlineStr">
        <is>
          <t>A 63146-2025</t>
        </is>
      </c>
      <c r="B48" t="inlineStr">
        <is>
          <t>avverkningsanmälan</t>
        </is>
      </c>
      <c r="C48" t="inlineStr">
        <is>
          <t>Föryngringsavverkning</t>
        </is>
      </c>
      <c r="D48" s="1" t="n">
        <v>46009</v>
      </c>
      <c r="E48" s="1" t="n">
        <v>46227</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t="n">
        <v>0</v>
      </c>
      <c r="V48" s="2" t="inlineStr">
        <is>
          <t>Stor aspticka
Svart trolldruva
Blåsippa</t>
        </is>
      </c>
      <c r="W48">
        <f>HYPERLINK("https://klasma.github.io/Logging_1907/artfynd/A 63146-2025 artfynd.xlsx", "A 63146-2025")</f>
        <v/>
      </c>
      <c r="X48">
        <f>HYPERLINK("https://klasma.github.io/Logging_1907/kartor/A 63146-2025 karta.png", "A 63146-2025")</f>
        <v/>
      </c>
      <c r="Y48">
        <f>HYPERLINK("https://klasma.github.io/Logging_1907/kartor_geotiff/A 63146-2025 georefererad karta.tif", "A 63146-2025")</f>
        <v/>
      </c>
      <c r="AA48">
        <f>HYPERLINK("https://klasma.github.io/Logging_1907/klagomål/A 63146-2025 FSC-klagomål.docx", "A 63146-2025")</f>
        <v/>
      </c>
      <c r="AB48">
        <f>HYPERLINK("https://klasma.github.io/Logging_1907/klagomålsmail/A 63146-2025 FSC-klagomål mail.docx", "A 63146-2025")</f>
        <v/>
      </c>
      <c r="AC48">
        <f>HYPERLINK("https://klasma.github.io/Logging_1907/tillsyn/A 63146-2025 tillsynsbegäran.docx", "A 63146-2025")</f>
        <v/>
      </c>
      <c r="AD48">
        <f>HYPERLINK("https://klasma.github.io/Logging_1907/tillsynsmail/A 63146-2025 tillsynsbegäran mail.docx", "A 63146-2025")</f>
        <v/>
      </c>
    </row>
    <row r="49" ht="15" customHeight="1">
      <c r="A49" t="inlineStr">
        <is>
          <t>A 42765-2022</t>
        </is>
      </c>
      <c r="B49" t="inlineStr">
        <is>
          <t>avverkningsanmälan</t>
        </is>
      </c>
      <c r="C49" t="inlineStr">
        <is>
          <t>Avverkning för annat ändamål</t>
        </is>
      </c>
      <c r="D49" s="1" t="n">
        <v>44832</v>
      </c>
      <c r="E49" s="1" t="n">
        <v>46227</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t="n">
        <v>1</v>
      </c>
      <c r="V49" s="2" t="inlineStr">
        <is>
          <t>Krusfrö
Barkticka
Blåsippa</t>
        </is>
      </c>
      <c r="W49">
        <f>HYPERLINK("https://klasma.github.io/Logging_1907/artfynd/A 42765-2022 artfynd.xlsx", "A 42765-2022")</f>
        <v/>
      </c>
      <c r="X49">
        <f>HYPERLINK("https://klasma.github.io/Logging_1907/kartor/A 42765-2022 karta.png", "A 42765-2022")</f>
        <v/>
      </c>
      <c r="Y49">
        <f>HYPERLINK("https://klasma.github.io/Logging_1907/kartor_geotiff/A 42765-2022 georefererad karta.tif", "A 42765-2022")</f>
        <v/>
      </c>
      <c r="AA49">
        <f>HYPERLINK("https://klasma.github.io/Logging_1907/klagomål/A 42765-2022 FSC-klagomål.docx", "A 42765-2022")</f>
        <v/>
      </c>
      <c r="AB49">
        <f>HYPERLINK("https://klasma.github.io/Logging_1907/klagomålsmail/A 42765-2022 FSC-klagomål mail.docx", "A 42765-2022")</f>
        <v/>
      </c>
      <c r="AC49">
        <f>HYPERLINK("https://klasma.github.io/Logging_1907/tillsyn/A 42765-2022 tillsynsbegäran.docx", "A 42765-2022")</f>
        <v/>
      </c>
      <c r="AD49">
        <f>HYPERLINK("https://klasma.github.io/Logging_1907/tillsynsmail/A 42765-2022 tillsynsbegäran mail.docx", "A 42765-2022")</f>
        <v/>
      </c>
    </row>
    <row r="50" ht="15" customHeight="1">
      <c r="A50" t="inlineStr">
        <is>
          <t>A 4082-2025</t>
        </is>
      </c>
      <c r="B50" t="inlineStr">
        <is>
          <t>avverkningsanmälan</t>
        </is>
      </c>
      <c r="C50" t="inlineStr">
        <is>
          <t>Föryngringsavverkning</t>
        </is>
      </c>
      <c r="D50" s="1" t="n">
        <v>45684</v>
      </c>
      <c r="E50" s="1" t="n">
        <v>46227</v>
      </c>
      <c r="F50" t="inlineStr">
        <is>
          <t>VÄSTMANLANDS LÄN</t>
        </is>
      </c>
      <c r="G50" t="inlineStr">
        <is>
          <t>SURAHAMMAR</t>
        </is>
      </c>
      <c r="H50" t="inlineStr">
        <is>
          <t>Bergvik skog väst AB</t>
        </is>
      </c>
      <c r="I50" t="n">
        <v>11.6</v>
      </c>
      <c r="J50" t="n">
        <v>2</v>
      </c>
      <c r="K50" t="n">
        <v>2</v>
      </c>
      <c r="L50" t="n">
        <v>0</v>
      </c>
      <c r="M50" t="n">
        <v>0</v>
      </c>
      <c r="N50" t="n">
        <v>0</v>
      </c>
      <c r="O50" t="n">
        <v>0</v>
      </c>
      <c r="P50" t="n">
        <v>0</v>
      </c>
      <c r="Q50" t="n">
        <v>0</v>
      </c>
      <c r="R50" t="n">
        <v>0</v>
      </c>
      <c r="S50" t="n">
        <v>3</v>
      </c>
      <c r="T50" t="n">
        <v>3</v>
      </c>
      <c r="U50" t="n">
        <v>1</v>
      </c>
      <c r="V50" s="2" t="inlineStr">
        <is>
          <t>Grönpyrola
Plattlummer
Lopplummer (aggregat)</t>
        </is>
      </c>
      <c r="W50">
        <f>HYPERLINK("https://klasma.github.io/Logging_1907/artfynd/A 4082-2025 artfynd.xlsx", "A 4082-2025")</f>
        <v/>
      </c>
      <c r="X50">
        <f>HYPERLINK("https://klasma.github.io/Logging_1907/kartor/A 4082-2025 karta.png", "A 4082-2025")</f>
        <v/>
      </c>
      <c r="Y50">
        <f>HYPERLINK("https://klasma.github.io/Logging_1907/kartor_geotiff/A 4082-2025 georefererad karta.tif", "A 4082-2025")</f>
        <v/>
      </c>
      <c r="AA50">
        <f>HYPERLINK("https://klasma.github.io/Logging_1907/klagomål/A 4082-2025 FSC-klagomål.docx", "A 4082-2025")</f>
        <v/>
      </c>
      <c r="AB50">
        <f>HYPERLINK("https://klasma.github.io/Logging_1907/klagomålsmail/A 4082-2025 FSC-klagomål mail.docx", "A 4082-2025")</f>
        <v/>
      </c>
      <c r="AC50">
        <f>HYPERLINK("https://klasma.github.io/Logging_1907/tillsyn/A 4082-2025 tillsynsbegäran.docx", "A 4082-2025")</f>
        <v/>
      </c>
      <c r="AD50">
        <f>HYPERLINK("https://klasma.github.io/Logging_1907/tillsynsmail/A 4082-2025 tillsynsbegäran mail.docx", "A 4082-2025")</f>
        <v/>
      </c>
    </row>
    <row r="51" ht="15" customHeight="1">
      <c r="A51" t="inlineStr">
        <is>
          <t>A 48128-2023</t>
        </is>
      </c>
      <c r="B51" t="inlineStr">
        <is>
          <t>avverkningsanmälan</t>
        </is>
      </c>
      <c r="C51" t="inlineStr">
        <is>
          <t>Föryngringsavverkning</t>
        </is>
      </c>
      <c r="D51" s="1" t="n">
        <v>45205</v>
      </c>
      <c r="E51" s="1" t="n">
        <v>46227</v>
      </c>
      <c r="F51" t="inlineStr">
        <is>
          <t>VÄSTMANLANDS LÄN</t>
        </is>
      </c>
      <c r="G51" t="inlineStr">
        <is>
          <t>SURAHAMMAR</t>
        </is>
      </c>
      <c r="H51" t="inlineStr">
        <is>
          <t>Allmännings- och besparingsskogar</t>
        </is>
      </c>
      <c r="I51" t="n">
        <v>11.8</v>
      </c>
      <c r="J51" t="n">
        <v>0</v>
      </c>
      <c r="K51" t="n">
        <v>1</v>
      </c>
      <c r="L51" t="n">
        <v>2</v>
      </c>
      <c r="M51" t="n">
        <v>0</v>
      </c>
      <c r="N51" t="n">
        <v>0</v>
      </c>
      <c r="O51" t="n">
        <v>0</v>
      </c>
      <c r="P51" t="n">
        <v>0</v>
      </c>
      <c r="Q51" t="n">
        <v>2</v>
      </c>
      <c r="R51" t="n">
        <v>0</v>
      </c>
      <c r="S51" t="n">
        <v>3</v>
      </c>
      <c r="T51" t="n">
        <v>3</v>
      </c>
      <c r="U51" t="n">
        <v>0</v>
      </c>
      <c r="V51" s="2" t="inlineStr">
        <is>
          <t>Jungfrulin
Svinrot
Vedticka</t>
        </is>
      </c>
      <c r="W51">
        <f>HYPERLINK("https://klasma.github.io/Logging_1907/artfynd/A 48128-2023 artfynd.xlsx", "A 48128-2023")</f>
        <v/>
      </c>
      <c r="X51">
        <f>HYPERLINK("https://klasma.github.io/Logging_1907/kartor/A 48128-2023 karta.png", "A 48128-2023")</f>
        <v/>
      </c>
      <c r="Y51">
        <f>HYPERLINK("https://klasma.github.io/Logging_1907/kartor_geotiff/A 48128-2023 georefererad karta.tif", "A 48128-2023")</f>
        <v/>
      </c>
      <c r="AA51">
        <f>HYPERLINK("https://klasma.github.io/Logging_1907/klagomål/A 48128-2023 FSC-klagomål.docx", "A 48128-2023")</f>
        <v/>
      </c>
      <c r="AB51">
        <f>HYPERLINK("https://klasma.github.io/Logging_1907/klagomålsmail/A 48128-2023 FSC-klagomål mail.docx", "A 48128-2023")</f>
        <v/>
      </c>
      <c r="AC51">
        <f>HYPERLINK("https://klasma.github.io/Logging_1907/tillsyn/A 48128-2023 tillsynsbegäran.docx", "A 48128-2023")</f>
        <v/>
      </c>
      <c r="AD51">
        <f>HYPERLINK("https://klasma.github.io/Logging_1907/tillsynsmail/A 48128-2023 tillsynsbegäran mail.docx", "A 48128-2023")</f>
        <v/>
      </c>
    </row>
    <row r="52" ht="15" customHeight="1">
      <c r="A52" t="inlineStr">
        <is>
          <t>S 1450-2022</t>
        </is>
      </c>
      <c r="B52" t="inlineStr">
        <is>
          <t>samrådsanmälan</t>
        </is>
      </c>
      <c r="C52" t="inlineStr">
        <is>
          <t>Skogsgödsling</t>
        </is>
      </c>
      <c r="D52" s="1" t="n">
        <v>44635</v>
      </c>
      <c r="E52" s="1" t="n">
        <v>46227</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46227</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46227</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46227</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t="n">
        <v>2</v>
      </c>
      <c r="V55" s="2" t="inlineStr">
        <is>
          <t>Motaggsvamp
Revlummer</t>
        </is>
      </c>
      <c r="W55">
        <f>HYPERLINK("https://klasma.github.io/Logging_1907/artfynd/A 38170-2021 artfynd.xlsx", "A 38170-2021")</f>
        <v/>
      </c>
      <c r="X55">
        <f>HYPERLINK("https://klasma.github.io/Logging_1907/kartor/A 38170-2021 karta.png", "A 38170-2021")</f>
        <v/>
      </c>
      <c r="Y55">
        <f>HYPERLINK("https://klasma.github.io/Logging_1907/kartor_geotiff/A 38170-2021 georefererad karta.tif", "A 38170-2021")</f>
        <v/>
      </c>
      <c r="AA55">
        <f>HYPERLINK("https://klasma.github.io/Logging_1907/klagomål/A 38170-2021 FSC-klagomål.docx", "A 38170-2021")</f>
        <v/>
      </c>
      <c r="AB55">
        <f>HYPERLINK("https://klasma.github.io/Logging_1907/klagomålsmail/A 38170-2021 FSC-klagomål mail.docx", "A 38170-2021")</f>
        <v/>
      </c>
      <c r="AC55">
        <f>HYPERLINK("https://klasma.github.io/Logging_1907/tillsyn/A 38170-2021 tillsynsbegäran.docx", "A 38170-2021")</f>
        <v/>
      </c>
      <c r="AD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46227</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t="n">
        <v>1</v>
      </c>
      <c r="V56" s="2" t="inlineStr">
        <is>
          <t>Ullticka
Vaddporing</t>
        </is>
      </c>
      <c r="W56">
        <f>HYPERLINK("https://klasma.github.io/Logging_1907/artfynd/A 38178-2021 artfynd.xlsx", "A 38178-2021")</f>
        <v/>
      </c>
      <c r="X56">
        <f>HYPERLINK("https://klasma.github.io/Logging_1907/kartor/A 38178-2021 karta.png", "A 38178-2021")</f>
        <v/>
      </c>
      <c r="Y56">
        <f>HYPERLINK("https://klasma.github.io/Logging_1907/kartor_geotiff/A 38178-2021 georefererad karta.tif", "A 38178-2021")</f>
        <v/>
      </c>
      <c r="AA56">
        <f>HYPERLINK("https://klasma.github.io/Logging_1907/klagomål/A 38178-2021 FSC-klagomål.docx", "A 38178-2021")</f>
        <v/>
      </c>
      <c r="AB56">
        <f>HYPERLINK("https://klasma.github.io/Logging_1907/klagomålsmail/A 38178-2021 FSC-klagomål mail.docx", "A 38178-2021")</f>
        <v/>
      </c>
      <c r="AC56">
        <f>HYPERLINK("https://klasma.github.io/Logging_1907/tillsyn/A 38178-2021 tillsynsbegäran.docx", "A 38178-2021")</f>
        <v/>
      </c>
      <c r="AD56">
        <f>HYPERLINK("https://klasma.github.io/Logging_1907/tillsynsmail/A 38178-2021 tillsynsbegäran mail.docx", "A 38178-2021")</f>
        <v/>
      </c>
    </row>
    <row r="57" ht="15" customHeight="1">
      <c r="A57" t="inlineStr">
        <is>
          <t>A 56362-2023</t>
        </is>
      </c>
      <c r="B57" t="inlineStr">
        <is>
          <t>avverkningsanmälan</t>
        </is>
      </c>
      <c r="C57" t="inlineStr">
        <is>
          <t>Föryngringsavverkning</t>
        </is>
      </c>
      <c r="D57" s="1" t="n">
        <v>45236</v>
      </c>
      <c r="E57" s="1" t="n">
        <v>46227</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40403-2025</t>
        </is>
      </c>
      <c r="B58" t="inlineStr">
        <is>
          <t>avverkningsanmälan</t>
        </is>
      </c>
      <c r="C58" t="inlineStr">
        <is>
          <t>Föryngringsavverkning</t>
        </is>
      </c>
      <c r="D58" s="1" t="n">
        <v>45895</v>
      </c>
      <c r="E58" s="1" t="n">
        <v>46227</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13788-2025</t>
        </is>
      </c>
      <c r="B59" t="inlineStr">
        <is>
          <t>avverkningsanmälan</t>
        </is>
      </c>
      <c r="C59" t="inlineStr">
        <is>
          <t>Föryngringsavverkning</t>
        </is>
      </c>
      <c r="D59" s="1" t="n">
        <v>45737</v>
      </c>
      <c r="E59" s="1" t="n">
        <v>46227</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14001-2023</t>
        </is>
      </c>
      <c r="B60" t="inlineStr">
        <is>
          <t>avverkningsanmälan</t>
        </is>
      </c>
      <c r="C60" t="inlineStr">
        <is>
          <t>Föryngringsavverkning</t>
        </is>
      </c>
      <c r="D60" s="1" t="n">
        <v>45007</v>
      </c>
      <c r="E60" s="1" t="n">
        <v>46227</v>
      </c>
      <c r="F60" t="inlineStr">
        <is>
          <t>VÄSTMANLANDS LÄN</t>
        </is>
      </c>
      <c r="G60" t="inlineStr">
        <is>
          <t>SURAHAMMAR</t>
        </is>
      </c>
      <c r="H60" t="inlineStr">
        <is>
          <t>Bergvik skog väst AB</t>
        </is>
      </c>
      <c r="I60" t="n">
        <v>1</v>
      </c>
      <c r="J60" t="n">
        <v>0</v>
      </c>
      <c r="K60" t="n">
        <v>0</v>
      </c>
      <c r="L60" t="n">
        <v>1</v>
      </c>
      <c r="M60" t="n">
        <v>1</v>
      </c>
      <c r="N60" t="n">
        <v>0</v>
      </c>
      <c r="O60" t="n">
        <v>0</v>
      </c>
      <c r="P60" t="n">
        <v>0</v>
      </c>
      <c r="Q60" t="n">
        <v>2</v>
      </c>
      <c r="R60" t="n">
        <v>1</v>
      </c>
      <c r="S60" t="n">
        <v>2</v>
      </c>
      <c r="T60" t="n">
        <v>2</v>
      </c>
      <c r="U60" t="n">
        <v>0</v>
      </c>
      <c r="V60" s="2" t="inlineStr">
        <is>
          <t>Garnlav
Motaggsvamp</t>
        </is>
      </c>
      <c r="W60">
        <f>HYPERLINK("https://klasma.github.io/Logging_1907/artfynd/A 14001-2023 artfynd.xlsx", "A 14001-2023")</f>
        <v/>
      </c>
      <c r="X60">
        <f>HYPERLINK("https://klasma.github.io/Logging_1907/kartor/A 14001-2023 karta.png", "A 14001-2023")</f>
        <v/>
      </c>
      <c r="Y60">
        <f>HYPERLINK("https://klasma.github.io/Logging_1907/kartor_geotiff/A 14001-2023 georefererad karta.tif", "A 14001-2023")</f>
        <v/>
      </c>
      <c r="AA60">
        <f>HYPERLINK("https://klasma.github.io/Logging_1907/klagomål/A 14001-2023 FSC-klagomål.docx", "A 14001-2023")</f>
        <v/>
      </c>
      <c r="AB60">
        <f>HYPERLINK("https://klasma.github.io/Logging_1907/klagomålsmail/A 14001-2023 FSC-klagomål mail.docx", "A 14001-2023")</f>
        <v/>
      </c>
      <c r="AC60">
        <f>HYPERLINK("https://klasma.github.io/Logging_1907/tillsyn/A 14001-2023 tillsynsbegäran.docx", "A 14001-2023")</f>
        <v/>
      </c>
      <c r="AD60">
        <f>HYPERLINK("https://klasma.github.io/Logging_1907/tillsynsmail/A 14001-2023 tillsynsbegäran mail.docx", "A 14001-2023")</f>
        <v/>
      </c>
    </row>
    <row r="61" ht="15" customHeight="1">
      <c r="A61" t="inlineStr">
        <is>
          <t>A 47453-2024</t>
        </is>
      </c>
      <c r="B61" t="inlineStr">
        <is>
          <t>avverkningsanmälan</t>
        </is>
      </c>
      <c r="C61" t="inlineStr">
        <is>
          <t>Föryngringsavverkning</t>
        </is>
      </c>
      <c r="D61" s="1" t="n">
        <v>45587</v>
      </c>
      <c r="E61" s="1" t="n">
        <v>46227</v>
      </c>
      <c r="F61" t="inlineStr">
        <is>
          <t>VÄSTMANLANDS LÄN</t>
        </is>
      </c>
      <c r="G61" t="inlineStr">
        <is>
          <t>SURAHAMMAR</t>
        </is>
      </c>
      <c r="I61" t="n">
        <v>5.1</v>
      </c>
      <c r="J61" t="n">
        <v>2</v>
      </c>
      <c r="K61" t="n">
        <v>0</v>
      </c>
      <c r="L61" t="n">
        <v>1</v>
      </c>
      <c r="M61" t="n">
        <v>0</v>
      </c>
      <c r="N61" t="n">
        <v>0</v>
      </c>
      <c r="O61" t="n">
        <v>0</v>
      </c>
      <c r="P61" t="n">
        <v>0</v>
      </c>
      <c r="Q61" t="n">
        <v>1</v>
      </c>
      <c r="R61" t="n">
        <v>0</v>
      </c>
      <c r="S61" t="n">
        <v>2</v>
      </c>
      <c r="T61" t="n">
        <v>2</v>
      </c>
      <c r="U61" t="n">
        <v>1</v>
      </c>
      <c r="V61" s="2" t="inlineStr">
        <is>
          <t>Göktyta
Gröngöling</t>
        </is>
      </c>
      <c r="W61">
        <f>HYPERLINK("https://klasma.github.io/Logging_1907/artfynd/A 47453-2024 artfynd.xlsx", "A 47453-2024")</f>
        <v/>
      </c>
      <c r="X61">
        <f>HYPERLINK("https://klasma.github.io/Logging_1907/kartor/A 47453-2024 karta.png", "A 47453-2024")</f>
        <v/>
      </c>
      <c r="Y61">
        <f>HYPERLINK("https://klasma.github.io/Logging_1907/kartor_geotiff/A 47453-2024 georefererad karta.tif", "A 47453-2024")</f>
        <v/>
      </c>
      <c r="AA61">
        <f>HYPERLINK("https://klasma.github.io/Logging_1907/klagomål/A 47453-2024 FSC-klagomål.docx", "A 47453-2024")</f>
        <v/>
      </c>
      <c r="AB61">
        <f>HYPERLINK("https://klasma.github.io/Logging_1907/klagomålsmail/A 47453-2024 FSC-klagomål mail.docx", "A 47453-2024")</f>
        <v/>
      </c>
      <c r="AC61">
        <f>HYPERLINK("https://klasma.github.io/Logging_1907/tillsyn/A 47453-2024 tillsynsbegäran.docx", "A 47453-2024")</f>
        <v/>
      </c>
      <c r="AD61">
        <f>HYPERLINK("https://klasma.github.io/Logging_1907/tillsynsmail/A 47453-2024 tillsynsbegäran mail.docx", "A 47453-2024")</f>
        <v/>
      </c>
      <c r="AE61">
        <f>HYPERLINK("https://klasma.github.io/Logging_1907/fåglar/A 47453-2024 prioriterade fågelarter.docx", "A 47453-2024")</f>
        <v/>
      </c>
    </row>
    <row r="62" ht="15" customHeight="1">
      <c r="A62" t="inlineStr">
        <is>
          <t>A 37013-2025</t>
        </is>
      </c>
      <c r="B62" t="inlineStr">
        <is>
          <t>avverkningsanmälan</t>
        </is>
      </c>
      <c r="C62" t="inlineStr">
        <is>
          <t>Föryngringsavverkning</t>
        </is>
      </c>
      <c r="D62" s="1" t="n">
        <v>45874</v>
      </c>
      <c r="E62" s="1" t="n">
        <v>46227</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11501-2023</t>
        </is>
      </c>
      <c r="B63" t="inlineStr">
        <is>
          <t>avverkningsanmälan</t>
        </is>
      </c>
      <c r="C63" t="inlineStr">
        <is>
          <t>Föryngringsavverkning</t>
        </is>
      </c>
      <c r="D63" s="1" t="n">
        <v>44991</v>
      </c>
      <c r="E63" s="1" t="n">
        <v>46227</v>
      </c>
      <c r="F63" t="inlineStr">
        <is>
          <t>VÄSTMANLANDS LÄN</t>
        </is>
      </c>
      <c r="G63" t="inlineStr">
        <is>
          <t>SURAHAMMAR</t>
        </is>
      </c>
      <c r="H63" t="inlineStr">
        <is>
          <t>Bergvik skog väst AB</t>
        </is>
      </c>
      <c r="I63" t="n">
        <v>1.1</v>
      </c>
      <c r="J63" t="n">
        <v>1</v>
      </c>
      <c r="K63" t="n">
        <v>1</v>
      </c>
      <c r="L63" t="n">
        <v>0</v>
      </c>
      <c r="M63" t="n">
        <v>0</v>
      </c>
      <c r="N63" t="n">
        <v>0</v>
      </c>
      <c r="O63" t="n">
        <v>0</v>
      </c>
      <c r="P63" t="n">
        <v>0</v>
      </c>
      <c r="Q63" t="n">
        <v>0</v>
      </c>
      <c r="R63" t="n">
        <v>0</v>
      </c>
      <c r="S63" t="n">
        <v>2</v>
      </c>
      <c r="T63" t="n">
        <v>2</v>
      </c>
      <c r="U63" t="n">
        <v>2</v>
      </c>
      <c r="V63" s="2" t="inlineStr">
        <is>
          <t>Svart trolldruva
Nattviol</t>
        </is>
      </c>
      <c r="W63">
        <f>HYPERLINK("https://klasma.github.io/Logging_1907/artfynd/A 11501-2023 artfynd.xlsx", "A 11501-2023")</f>
        <v/>
      </c>
      <c r="X63">
        <f>HYPERLINK("https://klasma.github.io/Logging_1907/kartor/A 11501-2023 karta.png", "A 11501-2023")</f>
        <v/>
      </c>
      <c r="Y63">
        <f>HYPERLINK("https://klasma.github.io/Logging_1907/kartor_geotiff/A 11501-2023 georefererad karta.tif", "A 11501-2023")</f>
        <v/>
      </c>
      <c r="AA63">
        <f>HYPERLINK("https://klasma.github.io/Logging_1907/klagomål/A 11501-2023 FSC-klagomål.docx", "A 11501-2023")</f>
        <v/>
      </c>
      <c r="AB63">
        <f>HYPERLINK("https://klasma.github.io/Logging_1907/klagomålsmail/A 11501-2023 FSC-klagomål mail.docx", "A 11501-2023")</f>
        <v/>
      </c>
      <c r="AC63">
        <f>HYPERLINK("https://klasma.github.io/Logging_1907/tillsyn/A 11501-2023 tillsynsbegäran.docx", "A 11501-2023")</f>
        <v/>
      </c>
      <c r="AD63">
        <f>HYPERLINK("https://klasma.github.io/Logging_1907/tillsynsmail/A 11501-2023 tillsynsbegäran mail.docx", "A 11501-2023")</f>
        <v/>
      </c>
    </row>
    <row r="64" ht="15" customHeight="1">
      <c r="A64" t="inlineStr">
        <is>
          <t>A 63138-2025</t>
        </is>
      </c>
      <c r="B64" t="inlineStr">
        <is>
          <t>avverkningsanmälan</t>
        </is>
      </c>
      <c r="C64" t="inlineStr">
        <is>
          <t>Föryngringsavverkning</t>
        </is>
      </c>
      <c r="D64" s="1" t="n">
        <v>46009</v>
      </c>
      <c r="E64" s="1" t="n">
        <v>46227</v>
      </c>
      <c r="F64" t="inlineStr">
        <is>
          <t>VÄSTMANLANDS LÄN</t>
        </is>
      </c>
      <c r="G64" t="inlineStr">
        <is>
          <t>SURAHAMMAR</t>
        </is>
      </c>
      <c r="H64" t="inlineStr">
        <is>
          <t>Bergvik skog väst AB</t>
        </is>
      </c>
      <c r="I64" t="n">
        <v>2.5</v>
      </c>
      <c r="J64" t="n">
        <v>1</v>
      </c>
      <c r="K64" t="n">
        <v>1</v>
      </c>
      <c r="L64" t="n">
        <v>0</v>
      </c>
      <c r="M64" t="n">
        <v>0</v>
      </c>
      <c r="N64" t="n">
        <v>0</v>
      </c>
      <c r="O64" t="n">
        <v>0</v>
      </c>
      <c r="P64" t="n">
        <v>0</v>
      </c>
      <c r="Q64" t="n">
        <v>0</v>
      </c>
      <c r="R64" t="n">
        <v>0</v>
      </c>
      <c r="S64" t="n">
        <v>2</v>
      </c>
      <c r="T64" t="n">
        <v>3</v>
      </c>
      <c r="U64" t="n">
        <v>2</v>
      </c>
      <c r="V64" s="2" t="inlineStr">
        <is>
          <t>Mindre märgborre
Tjäder</t>
        </is>
      </c>
      <c r="W64">
        <f>HYPERLINK("https://klasma.github.io/Logging_1907/artfynd/A 63138-2025 artfynd.xlsx", "A 63138-2025")</f>
        <v/>
      </c>
      <c r="X64">
        <f>HYPERLINK("https://klasma.github.io/Logging_1907/kartor/A 63138-2025 karta.png", "A 63138-2025")</f>
        <v/>
      </c>
      <c r="Y64">
        <f>HYPERLINK("https://klasma.github.io/Logging_1907/kartor_geotiff/A 63138-2025 georefererad karta.tif", "A 63138-2025")</f>
        <v/>
      </c>
      <c r="AA64">
        <f>HYPERLINK("https://klasma.github.io/Logging_1907/klagomål/A 63138-2025 FSC-klagomål.docx", "A 63138-2025")</f>
        <v/>
      </c>
      <c r="AB64">
        <f>HYPERLINK("https://klasma.github.io/Logging_1907/klagomålsmail/A 63138-2025 FSC-klagomål mail.docx", "A 63138-2025")</f>
        <v/>
      </c>
      <c r="AC64">
        <f>HYPERLINK("https://klasma.github.io/Logging_1907/tillsyn/A 63138-2025 tillsynsbegäran.docx", "A 63138-2025")</f>
        <v/>
      </c>
      <c r="AD64">
        <f>HYPERLINK("https://klasma.github.io/Logging_1907/tillsynsmail/A 63138-2025 tillsynsbegäran mail.docx", "A 63138-2025")</f>
        <v/>
      </c>
      <c r="AE64">
        <f>HYPERLINK("https://klasma.github.io/Logging_1907/fåglar/A 63138-2025 prioriterade fågelarter.docx", "A 63138-2025")</f>
        <v/>
      </c>
    </row>
    <row r="65" ht="15" customHeight="1">
      <c r="A65" t="inlineStr">
        <is>
          <t>A 41204-2023</t>
        </is>
      </c>
      <c r="B65" t="inlineStr">
        <is>
          <t>avverkningsanmälan</t>
        </is>
      </c>
      <c r="C65" t="inlineStr">
        <is>
          <t>Föryngringsavverkning</t>
        </is>
      </c>
      <c r="D65" s="1" t="n">
        <v>45174</v>
      </c>
      <c r="E65" s="1" t="n">
        <v>46227</v>
      </c>
      <c r="F65" t="inlineStr">
        <is>
          <t>VÄSTMANLANDS LÄN</t>
        </is>
      </c>
      <c r="G65" t="inlineStr">
        <is>
          <t>SURAHAMMAR</t>
        </is>
      </c>
      <c r="I65" t="n">
        <v>1</v>
      </c>
      <c r="J65" t="n">
        <v>1</v>
      </c>
      <c r="K65" t="n">
        <v>0</v>
      </c>
      <c r="L65" t="n">
        <v>1</v>
      </c>
      <c r="M65" t="n">
        <v>1</v>
      </c>
      <c r="N65" t="n">
        <v>0</v>
      </c>
      <c r="O65" t="n">
        <v>0</v>
      </c>
      <c r="P65" t="n">
        <v>0</v>
      </c>
      <c r="Q65" t="n">
        <v>2</v>
      </c>
      <c r="R65" t="n">
        <v>1</v>
      </c>
      <c r="S65" t="n">
        <v>2</v>
      </c>
      <c r="T65" t="n">
        <v>5</v>
      </c>
      <c r="U65" t="n">
        <v>0</v>
      </c>
      <c r="V65" s="2" t="inlineStr">
        <is>
          <t>Knärot
Vedtrappmossa</t>
        </is>
      </c>
      <c r="W65">
        <f>HYPERLINK("https://klasma.github.io/Logging_1907/artfynd/A 41204-2023 artfynd.xlsx", "A 41204-2023")</f>
        <v/>
      </c>
      <c r="X65">
        <f>HYPERLINK("https://klasma.github.io/Logging_1907/kartor/A 41204-2023 karta.png", "A 41204-2023")</f>
        <v/>
      </c>
      <c r="Y65">
        <f>HYPERLINK("https://klasma.github.io/Logging_1907/kartor_geotiff/A 41204-2023 georefererad karta.tif", "A 41204-2023")</f>
        <v/>
      </c>
      <c r="Z65">
        <f>HYPERLINK("https://klasma.github.io/Logging_1907/knärot/A 41204-2023 karta knärot.png", "A 41204-2023")</f>
        <v/>
      </c>
      <c r="AA65">
        <f>HYPERLINK("https://klasma.github.io/Logging_1907/klagomål/A 41204-2023 FSC-klagomål.docx", "A 41204-2023")</f>
        <v/>
      </c>
      <c r="AB65">
        <f>HYPERLINK("https://klasma.github.io/Logging_1907/klagomålsmail/A 41204-2023 FSC-klagomål mail.docx", "A 41204-2023")</f>
        <v/>
      </c>
      <c r="AC65">
        <f>HYPERLINK("https://klasma.github.io/Logging_1907/tillsyn/A 41204-2023 tillsynsbegäran.docx", "A 41204-2023")</f>
        <v/>
      </c>
      <c r="AD65">
        <f>HYPERLINK("https://klasma.github.io/Logging_1907/tillsynsmail/A 41204-2023 tillsynsbegäran mail.docx", "A 41204-2023")</f>
        <v/>
      </c>
    </row>
    <row r="66" ht="15" customHeight="1">
      <c r="A66" t="inlineStr">
        <is>
          <t>A 30074-2023</t>
        </is>
      </c>
      <c r="B66" t="inlineStr">
        <is>
          <t>avverkningsanmälan</t>
        </is>
      </c>
      <c r="C66" t="inlineStr">
        <is>
          <t>Föryngringsavverkning</t>
        </is>
      </c>
      <c r="D66" s="1" t="n">
        <v>45110</v>
      </c>
      <c r="E66" s="1" t="n">
        <v>46227</v>
      </c>
      <c r="F66" t="inlineStr">
        <is>
          <t>VÄSTMANLANDS LÄN</t>
        </is>
      </c>
      <c r="G66" t="inlineStr">
        <is>
          <t>SURAHAMMAR</t>
        </is>
      </c>
      <c r="H66" t="inlineStr">
        <is>
          <t>Sveaskog</t>
        </is>
      </c>
      <c r="I66" t="n">
        <v>1.1</v>
      </c>
      <c r="J66" t="n">
        <v>1</v>
      </c>
      <c r="K66" t="n">
        <v>1</v>
      </c>
      <c r="L66" t="n">
        <v>0</v>
      </c>
      <c r="M66" t="n">
        <v>0</v>
      </c>
      <c r="N66" t="n">
        <v>0</v>
      </c>
      <c r="O66" t="n">
        <v>0</v>
      </c>
      <c r="P66" t="n">
        <v>0</v>
      </c>
      <c r="Q66" t="n">
        <v>0</v>
      </c>
      <c r="R66" t="n">
        <v>0</v>
      </c>
      <c r="S66" t="n">
        <v>2</v>
      </c>
      <c r="T66" t="n">
        <v>2</v>
      </c>
      <c r="U66" t="n">
        <v>0</v>
      </c>
      <c r="V66" s="2" t="inlineStr">
        <is>
          <t>Grönpyrola
Revlummer</t>
        </is>
      </c>
      <c r="W66">
        <f>HYPERLINK("https://klasma.github.io/Logging_1907/artfynd/A 30074-2023 artfynd.xlsx", "A 30074-2023")</f>
        <v/>
      </c>
      <c r="X66">
        <f>HYPERLINK("https://klasma.github.io/Logging_1907/kartor/A 30074-2023 karta.png", "A 30074-2023")</f>
        <v/>
      </c>
      <c r="Y66">
        <f>HYPERLINK("https://klasma.github.io/Logging_1907/kartor_geotiff/A 30074-2023 georefererad karta.tif", "A 30074-2023")</f>
        <v/>
      </c>
      <c r="AA66">
        <f>HYPERLINK("https://klasma.github.io/Logging_1907/klagomål/A 30074-2023 FSC-klagomål.docx", "A 30074-2023")</f>
        <v/>
      </c>
      <c r="AB66">
        <f>HYPERLINK("https://klasma.github.io/Logging_1907/klagomålsmail/A 30074-2023 FSC-klagomål mail.docx", "A 30074-2023")</f>
        <v/>
      </c>
      <c r="AC66">
        <f>HYPERLINK("https://klasma.github.io/Logging_1907/tillsyn/A 30074-2023 tillsynsbegäran.docx", "A 30074-2023")</f>
        <v/>
      </c>
      <c r="AD66">
        <f>HYPERLINK("https://klasma.github.io/Logging_1907/tillsynsmail/A 30074-2023 tillsynsbegäran mail.docx", "A 30074-2023")</f>
        <v/>
      </c>
    </row>
    <row r="67" ht="15" customHeight="1">
      <c r="A67" t="inlineStr">
        <is>
          <t>A 13971-2023</t>
        </is>
      </c>
      <c r="B67" t="inlineStr">
        <is>
          <t>avverkningsanmälan</t>
        </is>
      </c>
      <c r="C67" t="inlineStr">
        <is>
          <t>Föryngringsavverkning</t>
        </is>
      </c>
      <c r="D67" s="1" t="n">
        <v>45007</v>
      </c>
      <c r="E67" s="1" t="n">
        <v>46227</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S 703-2025</t>
        </is>
      </c>
      <c r="B68" t="inlineStr">
        <is>
          <t>samrådsanmälan</t>
        </is>
      </c>
      <c r="C68" t="inlineStr">
        <is>
          <t>Skogsgödsling</t>
        </is>
      </c>
      <c r="D68" s="1" t="n">
        <v>45720</v>
      </c>
      <c r="E68" s="1" t="n">
        <v>46227</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46227</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46227</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46227</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46227</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34584-2025</t>
        </is>
      </c>
      <c r="B73" t="inlineStr">
        <is>
          <t>avverkningsanmälan</t>
        </is>
      </c>
      <c r="C73" t="inlineStr">
        <is>
          <t>Föryngringsavverkning</t>
        </is>
      </c>
      <c r="D73" s="1" t="n">
        <v>45846</v>
      </c>
      <c r="E73" s="1" t="n">
        <v>46227</v>
      </c>
      <c r="F73" t="inlineStr">
        <is>
          <t>VÄSTMANLANDS LÄN</t>
        </is>
      </c>
      <c r="G73" t="inlineStr">
        <is>
          <t>SURAHAMMAR</t>
        </is>
      </c>
      <c r="H73" t="inlineStr">
        <is>
          <t>Bergvik skog väst AB</t>
        </is>
      </c>
      <c r="I73" t="n">
        <v>2.7</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HYPERLINK("https://klasma.github.io/Logging_1907/artfynd/A 34584-2025 artfynd.xlsx", "A 34584-2025")</f>
        <v/>
      </c>
      <c r="X73">
        <f>HYPERLINK("https://klasma.github.io/Logging_1907/kartor/A 34584-2025 karta.png", "A 34584-2025")</f>
        <v/>
      </c>
      <c r="Y73">
        <f>HYPERLINK("https://klasma.github.io/Logging_1907/kartor_geotiff/A 34584-2025 georefererad karta.tif", "A 34584-2025")</f>
        <v/>
      </c>
      <c r="AA73">
        <f>HYPERLINK("https://klasma.github.io/Logging_1907/klagomål/A 34584-2025 FSC-klagomål.docx", "A 34584-2025")</f>
        <v/>
      </c>
      <c r="AB73">
        <f>HYPERLINK("https://klasma.github.io/Logging_1907/klagomålsmail/A 34584-2025 FSC-klagomål mail.docx", "A 34584-2025")</f>
        <v/>
      </c>
      <c r="AC73">
        <f>HYPERLINK("https://klasma.github.io/Logging_1907/tillsyn/A 34584-2025 tillsynsbegäran.docx", "A 34584-2025")</f>
        <v/>
      </c>
      <c r="AD73">
        <f>HYPERLINK("https://klasma.github.io/Logging_1907/tillsynsmail/A 34584-2025 tillsynsbegäran mail.docx", "A 34584-2025")</f>
        <v/>
      </c>
      <c r="AE73">
        <f>HYPERLINK("https://klasma.github.io/Logging_1907/fåglar/A 34584-2025 prioriterade fågelarter.docx", "A 34584-2025")</f>
        <v/>
      </c>
    </row>
    <row r="74" ht="15" customHeight="1">
      <c r="A74" t="inlineStr">
        <is>
          <t>A 8553-2023</t>
        </is>
      </c>
      <c r="B74" t="inlineStr">
        <is>
          <t>avverkningsanmälan</t>
        </is>
      </c>
      <c r="C74" t="inlineStr">
        <is>
          <t>Avverkning för att bevara och utveckla /försöksver</t>
        </is>
      </c>
      <c r="D74" s="1" t="n">
        <v>44977</v>
      </c>
      <c r="E74" s="1" t="n">
        <v>46227</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16013-2023</t>
        </is>
      </c>
      <c r="B75" t="inlineStr">
        <is>
          <t>avverkningsanmälan</t>
        </is>
      </c>
      <c r="C75" t="inlineStr">
        <is>
          <t>Föryngringsavverkning</t>
        </is>
      </c>
      <c r="D75" s="1" t="n">
        <v>45026</v>
      </c>
      <c r="E75" s="1" t="n">
        <v>46227</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t="n">
        <v>0</v>
      </c>
      <c r="V75" s="2" t="inlineStr">
        <is>
          <t>Garnlav</t>
        </is>
      </c>
      <c r="W75">
        <f>HYPERLINK("https://klasma.github.io/Logging_1907/artfynd/A 16013-2023 artfynd.xlsx", "A 16013-2023")</f>
        <v/>
      </c>
      <c r="X75">
        <f>HYPERLINK("https://klasma.github.io/Logging_1907/kartor/A 16013-2023 karta.png", "A 16013-2023")</f>
        <v/>
      </c>
      <c r="Y75">
        <f>HYPERLINK("https://klasma.github.io/Logging_1907/kartor_geotiff/A 16013-2023 georefererad karta.tif", "A 16013-2023")</f>
        <v/>
      </c>
      <c r="AA75">
        <f>HYPERLINK("https://klasma.github.io/Logging_1907/klagomål/A 16013-2023 FSC-klagomål.docx", "A 16013-2023")</f>
        <v/>
      </c>
      <c r="AB75">
        <f>HYPERLINK("https://klasma.github.io/Logging_1907/klagomålsmail/A 16013-2023 FSC-klagomål mail.docx", "A 16013-2023")</f>
        <v/>
      </c>
      <c r="AC75">
        <f>HYPERLINK("https://klasma.github.io/Logging_1907/tillsyn/A 16013-2023 tillsynsbegäran.docx", "A 16013-2023")</f>
        <v/>
      </c>
      <c r="AD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46227</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33231-2024</t>
        </is>
      </c>
      <c r="B77" t="inlineStr">
        <is>
          <t>avverkningsanmälan</t>
        </is>
      </c>
      <c r="C77" t="inlineStr">
        <is>
          <t>Föryngringsavverkning</t>
        </is>
      </c>
      <c r="D77" s="1" t="n">
        <v>45518</v>
      </c>
      <c r="E77" s="1" t="n">
        <v>46227</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30076-2023</t>
        </is>
      </c>
      <c r="B78" t="inlineStr">
        <is>
          <t>avverkningsanmälan</t>
        </is>
      </c>
      <c r="C78" t="inlineStr">
        <is>
          <t>Föryngringsavverkning</t>
        </is>
      </c>
      <c r="D78" s="1" t="n">
        <v>45110</v>
      </c>
      <c r="E78" s="1" t="n">
        <v>46227</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HYPERLINK("https://klasma.github.io/Logging_1907/artfynd/A 30076-2023 artfynd.xlsx", "A 30076-2023")</f>
        <v/>
      </c>
      <c r="X78">
        <f>HYPERLINK("https://klasma.github.io/Logging_1907/kartor/A 30076-2023 karta.png", "A 30076-2023")</f>
        <v/>
      </c>
      <c r="Y78">
        <f>HYPERLINK("https://klasma.github.io/Logging_1907/kartor_geotiff/A 30076-2023 georefererad karta.tif", "A 30076-2023")</f>
        <v/>
      </c>
      <c r="AA78">
        <f>HYPERLINK("https://klasma.github.io/Logging_1907/klagomål/A 30076-2023 FSC-klagomål.docx", "A 30076-2023")</f>
        <v/>
      </c>
      <c r="AB78">
        <f>HYPERLINK("https://klasma.github.io/Logging_1907/klagomålsmail/A 30076-2023 FSC-klagomål mail.docx", "A 30076-2023")</f>
        <v/>
      </c>
      <c r="AC78">
        <f>HYPERLINK("https://klasma.github.io/Logging_1907/tillsyn/A 30076-2023 tillsynsbegäran.docx", "A 30076-2023")</f>
        <v/>
      </c>
      <c r="AD78">
        <f>HYPERLINK("https://klasma.github.io/Logging_1907/tillsynsmail/A 30076-2023 tillsynsbegäran mail.docx", "A 30076-2023")</f>
        <v/>
      </c>
    </row>
    <row r="79" ht="15" customHeight="1">
      <c r="A79" t="inlineStr">
        <is>
          <t>A 47785-2021</t>
        </is>
      </c>
      <c r="B79" t="inlineStr">
        <is>
          <t>avverkningsanmälan</t>
        </is>
      </c>
      <c r="C79" t="inlineStr">
        <is>
          <t>Föryngringsavverkning</t>
        </is>
      </c>
      <c r="D79" s="1" t="n">
        <v>44448</v>
      </c>
      <c r="E79" s="1" t="n">
        <v>46227</v>
      </c>
      <c r="F79" t="inlineStr">
        <is>
          <t>VÄSTMANLANDS LÄN</t>
        </is>
      </c>
      <c r="G79" t="inlineStr">
        <is>
          <t>SURAHAMMAR</t>
        </is>
      </c>
      <c r="H79" t="inlineStr">
        <is>
          <t>Kommuner</t>
        </is>
      </c>
      <c r="I79" t="n">
        <v>3.3</v>
      </c>
      <c r="J79" t="n">
        <v>0</v>
      </c>
      <c r="K79" t="n">
        <v>0</v>
      </c>
      <c r="L79" t="n">
        <v>1</v>
      </c>
      <c r="M79" t="n">
        <v>0</v>
      </c>
      <c r="N79" t="n">
        <v>0</v>
      </c>
      <c r="O79" t="n">
        <v>0</v>
      </c>
      <c r="P79" t="n">
        <v>0</v>
      </c>
      <c r="Q79" t="n">
        <v>1</v>
      </c>
      <c r="R79" t="n">
        <v>0</v>
      </c>
      <c r="S79" t="n">
        <v>1</v>
      </c>
      <c r="T79" t="n">
        <v>1</v>
      </c>
      <c r="U79" t="n">
        <v>1</v>
      </c>
      <c r="V79" s="2" t="inlineStr">
        <is>
          <t>Motaggsvamp</t>
        </is>
      </c>
      <c r="W79">
        <f>HYPERLINK("https://klasma.github.io/Logging_1907/artfynd/A 47785-2021 artfynd.xlsx", "A 47785-2021")</f>
        <v/>
      </c>
      <c r="X79">
        <f>HYPERLINK("https://klasma.github.io/Logging_1907/kartor/A 47785-2021 karta.png", "A 47785-2021")</f>
        <v/>
      </c>
      <c r="Y79">
        <f>HYPERLINK("https://klasma.github.io/Logging_1907/kartor_geotiff/A 47785-2021 georefererad karta.tif", "A 47785-2021")</f>
        <v/>
      </c>
      <c r="AA79">
        <f>HYPERLINK("https://klasma.github.io/Logging_1907/klagomål/A 47785-2021 FSC-klagomål.docx", "A 47785-2021")</f>
        <v/>
      </c>
      <c r="AB79">
        <f>HYPERLINK("https://klasma.github.io/Logging_1907/klagomålsmail/A 47785-2021 FSC-klagomål mail.docx", "A 47785-2021")</f>
        <v/>
      </c>
      <c r="AC79">
        <f>HYPERLINK("https://klasma.github.io/Logging_1907/tillsyn/A 47785-2021 tillsynsbegäran.docx", "A 47785-2021")</f>
        <v/>
      </c>
      <c r="AD79">
        <f>HYPERLINK("https://klasma.github.io/Logging_1907/tillsynsmail/A 47785-2021 tillsynsbegäran mail.docx", "A 47785-2021")</f>
        <v/>
      </c>
    </row>
    <row r="80" ht="15" customHeight="1">
      <c r="A80" t="inlineStr">
        <is>
          <t>A 10883-2023</t>
        </is>
      </c>
      <c r="B80" t="inlineStr">
        <is>
          <t>avverkningsanmälan</t>
        </is>
      </c>
      <c r="C80" t="inlineStr">
        <is>
          <t>Föryngringsavverkning</t>
        </is>
      </c>
      <c r="D80" s="1" t="n">
        <v>44991</v>
      </c>
      <c r="E80" s="1" t="n">
        <v>46227</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46227</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46227</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46227</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46227</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46227</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46227</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46227</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46227</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37799-2021</t>
        </is>
      </c>
      <c r="B89" t="inlineStr">
        <is>
          <t>avverkningsanmälan</t>
        </is>
      </c>
      <c r="C89" t="inlineStr">
        <is>
          <t>Föryngringsavverkning</t>
        </is>
      </c>
      <c r="D89" s="1" t="n">
        <v>44402</v>
      </c>
      <c r="E89" s="1" t="n">
        <v>46227</v>
      </c>
      <c r="F89" t="inlineStr">
        <is>
          <t>VÄSTMANLANDS LÄN</t>
        </is>
      </c>
      <c r="G89" t="inlineStr">
        <is>
          <t>SURAHAMMAR</t>
        </is>
      </c>
      <c r="H89" t="inlineStr">
        <is>
          <t>Kommuner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46227</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46227</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46227</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46227</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46227</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46227</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7787-2024</t>
        </is>
      </c>
      <c r="B96" t="inlineStr">
        <is>
          <t>avverkningsanmälan</t>
        </is>
      </c>
      <c r="C96" t="inlineStr">
        <is>
          <t>Föryngringsavverkning</t>
        </is>
      </c>
      <c r="D96" s="1" t="n">
        <v>45348</v>
      </c>
      <c r="E96" s="1" t="n">
        <v>46227</v>
      </c>
      <c r="F96" t="inlineStr">
        <is>
          <t>VÄSTMANLANDS LÄN</t>
        </is>
      </c>
      <c r="G96" t="inlineStr">
        <is>
          <t>SURAHAMMAR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21509-2024</t>
        </is>
      </c>
      <c r="B97" t="inlineStr">
        <is>
          <t>avverkningsanmälan</t>
        </is>
      </c>
      <c r="C97" t="inlineStr">
        <is>
          <t>Föryngringsavverkning</t>
        </is>
      </c>
      <c r="D97" s="1" t="n">
        <v>45441</v>
      </c>
      <c r="E97" s="1" t="n">
        <v>46227</v>
      </c>
      <c r="F97" t="inlineStr">
        <is>
          <t>VÄSTMANLANDS LÄN</t>
        </is>
      </c>
      <c r="G97" t="inlineStr">
        <is>
          <t>SURAHAMMAR</t>
        </is>
      </c>
      <c r="H97" t="inlineStr">
        <is>
          <t>Bergvik skog väst AB</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42832-2022</t>
        </is>
      </c>
      <c r="B98" t="inlineStr">
        <is>
          <t>avverkningsanmälan</t>
        </is>
      </c>
      <c r="C98" t="inlineStr">
        <is>
          <t>Avverkning för annat ändamål</t>
        </is>
      </c>
      <c r="D98" s="1" t="n">
        <v>44832</v>
      </c>
      <c r="E98" s="1" t="n">
        <v>46227</v>
      </c>
      <c r="F98" t="inlineStr">
        <is>
          <t>VÄSTMANLANDS LÄN</t>
        </is>
      </c>
      <c r="G98" t="inlineStr">
        <is>
          <t>SURAHAMMAR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42841-2022</t>
        </is>
      </c>
      <c r="B99" t="inlineStr">
        <is>
          <t>avverkningsanmälan</t>
        </is>
      </c>
      <c r="C99" t="inlineStr">
        <is>
          <t>Avverkning för annat ändamål</t>
        </is>
      </c>
      <c r="D99" s="1" t="n">
        <v>44832</v>
      </c>
      <c r="E99" s="1" t="n">
        <v>46227</v>
      </c>
      <c r="F99" t="inlineStr">
        <is>
          <t>VÄSTMANLANDS LÄN</t>
        </is>
      </c>
      <c r="G99" t="inlineStr">
        <is>
          <t>SURAHAMMAR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24158-2023</t>
        </is>
      </c>
      <c r="B100" t="inlineStr">
        <is>
          <t>avverkningsanmälan</t>
        </is>
      </c>
      <c r="C100" t="inlineStr">
        <is>
          <t>Föryngringsavverkning</t>
        </is>
      </c>
      <c r="D100" s="1" t="n">
        <v>45079</v>
      </c>
      <c r="E100" s="1" t="n">
        <v>46227</v>
      </c>
      <c r="F100" t="inlineStr">
        <is>
          <t>VÄSTMANLANDS LÄN</t>
        </is>
      </c>
      <c r="G100" t="inlineStr">
        <is>
          <t>SURAHAMMAR</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39099-2022</t>
        </is>
      </c>
      <c r="B101" t="inlineStr">
        <is>
          <t>avverkningsanmälan</t>
        </is>
      </c>
      <c r="C101" t="inlineStr">
        <is>
          <t>Föryngringsavverkning</t>
        </is>
      </c>
      <c r="D101" s="1" t="n">
        <v>44817</v>
      </c>
      <c r="E101" s="1" t="n">
        <v>46227</v>
      </c>
      <c r="F101" t="inlineStr">
        <is>
          <t>VÄSTMANLANDS LÄN</t>
        </is>
      </c>
      <c r="G101" t="inlineStr">
        <is>
          <t>SURAHAMMAR</t>
        </is>
      </c>
      <c r="H101" t="inlineStr">
        <is>
          <t>Bergvik skog väst AB</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15739-2023</t>
        </is>
      </c>
      <c r="B102" t="inlineStr">
        <is>
          <t>avverkningsanmälan</t>
        </is>
      </c>
      <c r="C102" t="inlineStr">
        <is>
          <t>Föryngringsavverkning</t>
        </is>
      </c>
      <c r="D102" s="1" t="n">
        <v>45021</v>
      </c>
      <c r="E102" s="1" t="n">
        <v>46227</v>
      </c>
      <c r="F102" t="inlineStr">
        <is>
          <t>VÄSTMANLANDS LÄN</t>
        </is>
      </c>
      <c r="G102" t="inlineStr">
        <is>
          <t>SURAHAMMAR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38154-2021</t>
        </is>
      </c>
      <c r="B103" t="inlineStr">
        <is>
          <t>avverkningsanmälan</t>
        </is>
      </c>
      <c r="C103" t="inlineStr">
        <is>
          <t>Föryngringsavverkning</t>
        </is>
      </c>
      <c r="D103" s="1" t="n">
        <v>44405</v>
      </c>
      <c r="E103" s="1" t="n">
        <v>46227</v>
      </c>
      <c r="F103" t="inlineStr">
        <is>
          <t>VÄSTMANLANDS LÄN</t>
        </is>
      </c>
      <c r="G103" t="inlineStr">
        <is>
          <t>SURAHAMMAR</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3818-2022</t>
        </is>
      </c>
      <c r="B104" t="inlineStr">
        <is>
          <t>avverkningsanmälan</t>
        </is>
      </c>
      <c r="C104" t="inlineStr">
        <is>
          <t>Föryngringsavverkning</t>
        </is>
      </c>
      <c r="D104" s="1" t="n">
        <v>44587</v>
      </c>
      <c r="E104" s="1" t="n">
        <v>46227</v>
      </c>
      <c r="F104" t="inlineStr">
        <is>
          <t>VÄSTMANLANDS LÄN</t>
        </is>
      </c>
      <c r="G104" t="inlineStr">
        <is>
          <t>SURAHAMMAR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55873-2025</t>
        </is>
      </c>
      <c r="B105" t="inlineStr">
        <is>
          <t>avverkningsanmälan</t>
        </is>
      </c>
      <c r="C105" t="inlineStr">
        <is>
          <t>Föryngringsavverkning</t>
        </is>
      </c>
      <c r="D105" s="1" t="n">
        <v>45973</v>
      </c>
      <c r="E105" s="1" t="n">
        <v>46227</v>
      </c>
      <c r="F105" t="inlineStr">
        <is>
          <t>VÄSTMANLANDS LÄN</t>
        </is>
      </c>
      <c r="G105" t="inlineStr">
        <is>
          <t>SURAHAMMAR</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19782-2023</t>
        </is>
      </c>
      <c r="B106" t="inlineStr">
        <is>
          <t>avverkningsanmälan</t>
        </is>
      </c>
      <c r="C106" t="inlineStr">
        <is>
          <t>Föryngringsavverkning</t>
        </is>
      </c>
      <c r="D106" s="1" t="n">
        <v>45050</v>
      </c>
      <c r="E106" s="1" t="n">
        <v>46227</v>
      </c>
      <c r="F106" t="inlineStr">
        <is>
          <t>VÄSTMANLANDS LÄN</t>
        </is>
      </c>
      <c r="G106" t="inlineStr">
        <is>
          <t>SURAHAMMAR</t>
        </is>
      </c>
      <c r="H106" t="inlineStr">
        <is>
          <t>Bergvik skog väst AB</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14626-2023</t>
        </is>
      </c>
      <c r="B107" t="inlineStr">
        <is>
          <t>avverkningsanmälan</t>
        </is>
      </c>
      <c r="C107" t="inlineStr">
        <is>
          <t>Föryngringsavverkning</t>
        </is>
      </c>
      <c r="D107" s="1" t="n">
        <v>45012</v>
      </c>
      <c r="E107" s="1" t="n">
        <v>46227</v>
      </c>
      <c r="F107" t="inlineStr">
        <is>
          <t>VÄSTMANLANDS LÄN</t>
        </is>
      </c>
      <c r="G107" t="inlineStr">
        <is>
          <t>SURAHAMMAR</t>
        </is>
      </c>
      <c r="H107" t="inlineStr">
        <is>
          <t>Bergvik skog väst AB</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56378-2023</t>
        </is>
      </c>
      <c r="B108" t="inlineStr">
        <is>
          <t>avverkningsanmälan</t>
        </is>
      </c>
      <c r="C108" t="inlineStr">
        <is>
          <t>Föryngringsavverkning</t>
        </is>
      </c>
      <c r="D108" s="1" t="n">
        <v>45236</v>
      </c>
      <c r="E108" s="1" t="n">
        <v>46227</v>
      </c>
      <c r="F108" t="inlineStr">
        <is>
          <t>VÄSTMANLANDS LÄN</t>
        </is>
      </c>
      <c r="G108" t="inlineStr">
        <is>
          <t>SURAHAMMAR</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46227</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37954-2025</t>
        </is>
      </c>
      <c r="B110" t="inlineStr">
        <is>
          <t>avverkningsanmälan</t>
        </is>
      </c>
      <c r="C110" t="inlineStr">
        <is>
          <t>Föryngringsavverkning</t>
        </is>
      </c>
      <c r="D110" s="1" t="n">
        <v>45881</v>
      </c>
      <c r="E110" s="1" t="n">
        <v>46227</v>
      </c>
      <c r="F110" t="inlineStr">
        <is>
          <t>VÄSTMANLANDS LÄN</t>
        </is>
      </c>
      <c r="G110" t="inlineStr">
        <is>
          <t>SURAHAMMAR</t>
        </is>
      </c>
      <c r="I110" t="n">
        <v>9.5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20904-2023</t>
        </is>
      </c>
      <c r="B111" t="inlineStr">
        <is>
          <t>avverkningsanmälan</t>
        </is>
      </c>
      <c r="C111" t="inlineStr">
        <is>
          <t>Avverkning för att bevara och utveckla /försöksver</t>
        </is>
      </c>
      <c r="D111" s="1" t="n">
        <v>45060</v>
      </c>
      <c r="E111" s="1" t="n">
        <v>46227</v>
      </c>
      <c r="F111" t="inlineStr">
        <is>
          <t>VÄSTMANLANDS LÄN</t>
        </is>
      </c>
      <c r="G111" t="inlineStr">
        <is>
          <t>SURAHAMMAR</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42829-2022</t>
        </is>
      </c>
      <c r="B112" t="inlineStr">
        <is>
          <t>avverkningsanmälan</t>
        </is>
      </c>
      <c r="C112" t="inlineStr">
        <is>
          <t>Avverkning för annat ändamål</t>
        </is>
      </c>
      <c r="D112" s="1" t="n">
        <v>44832</v>
      </c>
      <c r="E112" s="1" t="n">
        <v>46227</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37798-2021</t>
        </is>
      </c>
      <c r="B113" t="inlineStr">
        <is>
          <t>avverkningsanmälan</t>
        </is>
      </c>
      <c r="C113" t="inlineStr">
        <is>
          <t>Föryngringsavverkning</t>
        </is>
      </c>
      <c r="D113" s="1" t="n">
        <v>44402</v>
      </c>
      <c r="E113" s="1" t="n">
        <v>46227</v>
      </c>
      <c r="F113" t="inlineStr">
        <is>
          <t>VÄSTMANLANDS LÄN</t>
        </is>
      </c>
      <c r="G113" t="inlineStr">
        <is>
          <t>SURAHAMMAR</t>
        </is>
      </c>
      <c r="H113" t="inlineStr">
        <is>
          <t>Kommuner</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46227</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33931-2022</t>
        </is>
      </c>
      <c r="B115" t="inlineStr">
        <is>
          <t>avverkningsanmälan</t>
        </is>
      </c>
      <c r="C115" t="inlineStr">
        <is>
          <t>Föryngringsavverkning</t>
        </is>
      </c>
      <c r="D115" s="1" t="n">
        <v>44790</v>
      </c>
      <c r="E115" s="1" t="n">
        <v>46227</v>
      </c>
      <c r="F115" t="inlineStr">
        <is>
          <t>VÄSTMANLANDS LÄN</t>
        </is>
      </c>
      <c r="G115" t="inlineStr">
        <is>
          <t>SURAHAMMAR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4724-2026</t>
        </is>
      </c>
      <c r="B116" t="inlineStr">
        <is>
          <t>avverkningsanmälan</t>
        </is>
      </c>
      <c r="C116" t="inlineStr">
        <is>
          <t>Föryngringsavverkning</t>
        </is>
      </c>
      <c r="D116" s="1" t="n">
        <v>46048</v>
      </c>
      <c r="E116" s="1" t="n">
        <v>46227</v>
      </c>
      <c r="F116" t="inlineStr">
        <is>
          <t>VÄSTMANLANDS LÄN</t>
        </is>
      </c>
      <c r="G116" t="inlineStr">
        <is>
          <t>SURAHAMMAR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4734-2026</t>
        </is>
      </c>
      <c r="B117" t="inlineStr">
        <is>
          <t>avverkningsanmälan</t>
        </is>
      </c>
      <c r="C117" t="inlineStr">
        <is>
          <t>Föryngringsavverkning</t>
        </is>
      </c>
      <c r="D117" s="1" t="n">
        <v>46048</v>
      </c>
      <c r="E117" s="1" t="n">
        <v>46227</v>
      </c>
      <c r="F117" t="inlineStr">
        <is>
          <t>VÄSTMANLANDS LÄN</t>
        </is>
      </c>
      <c r="G117" t="inlineStr">
        <is>
          <t>SURAHAMMAR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22662-2023</t>
        </is>
      </c>
      <c r="B118" t="inlineStr">
        <is>
          <t>avverkningsanmälan</t>
        </is>
      </c>
      <c r="C118" t="inlineStr">
        <is>
          <t>Avverkning för att bevara och utveckla /försöksver</t>
        </is>
      </c>
      <c r="D118" s="1" t="n">
        <v>45071</v>
      </c>
      <c r="E118" s="1" t="n">
        <v>46227</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10244-2026</t>
        </is>
      </c>
      <c r="B119" t="inlineStr">
        <is>
          <t>avverkningsanmälan</t>
        </is>
      </c>
      <c r="C119" t="inlineStr">
        <is>
          <t>Föryngringsavverkning</t>
        </is>
      </c>
      <c r="D119" s="1" t="n">
        <v>46076</v>
      </c>
      <c r="E119" s="1" t="n">
        <v>46227</v>
      </c>
      <c r="F119" t="inlineStr">
        <is>
          <t>VÄSTMANLANDS LÄN</t>
        </is>
      </c>
      <c r="G119" t="inlineStr">
        <is>
          <t>SURAHAMMAR</t>
        </is>
      </c>
      <c r="H119" t="inlineStr">
        <is>
          <t>Allmännings- och besparingsskogar</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10249-2026</t>
        </is>
      </c>
      <c r="B120" t="inlineStr">
        <is>
          <t>avverkningsanmälan</t>
        </is>
      </c>
      <c r="C120" t="inlineStr">
        <is>
          <t>Föryngringsavverkning</t>
        </is>
      </c>
      <c r="D120" s="1" t="n">
        <v>46076</v>
      </c>
      <c r="E120" s="1" t="n">
        <v>46227</v>
      </c>
      <c r="F120" t="inlineStr">
        <is>
          <t>VÄSTMANLANDS LÄN</t>
        </is>
      </c>
      <c r="G120" t="inlineStr">
        <is>
          <t>SURAHAMMAR</t>
        </is>
      </c>
      <c r="H120" t="inlineStr">
        <is>
          <t>Allmännings- och besparingsskogar</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10562-2026</t>
        </is>
      </c>
      <c r="B121" t="inlineStr">
        <is>
          <t>avverkningsanmälan</t>
        </is>
      </c>
      <c r="C121" t="inlineStr">
        <is>
          <t>Föryngringsavverkning</t>
        </is>
      </c>
      <c r="D121" s="1" t="n">
        <v>46077</v>
      </c>
      <c r="E121" s="1" t="n">
        <v>46227</v>
      </c>
      <c r="F121" t="inlineStr">
        <is>
          <t>VÄSTMANLANDS LÄN</t>
        </is>
      </c>
      <c r="G121" t="inlineStr">
        <is>
          <t>SURAHAMMAR</t>
        </is>
      </c>
      <c r="H121" t="inlineStr">
        <is>
          <t>Övriga Aktiebolag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10347-2026</t>
        </is>
      </c>
      <c r="B122" t="inlineStr">
        <is>
          <t>avverkningsanmälan</t>
        </is>
      </c>
      <c r="C122" t="inlineStr">
        <is>
          <t>Föryngringsavverkning</t>
        </is>
      </c>
      <c r="D122" s="1" t="n">
        <v>46076</v>
      </c>
      <c r="E122" s="1" t="n">
        <v>46227</v>
      </c>
      <c r="F122" t="inlineStr">
        <is>
          <t>VÄSTMANLANDS LÄN</t>
        </is>
      </c>
      <c r="G122" t="inlineStr">
        <is>
          <t>SURAHAMMAR</t>
        </is>
      </c>
      <c r="H122" t="inlineStr">
        <is>
          <t>Allmännings- och besparingsskogar</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12841-2026</t>
        </is>
      </c>
      <c r="B123" t="inlineStr">
        <is>
          <t>avverkningsanmälan</t>
        </is>
      </c>
      <c r="C123" t="inlineStr">
        <is>
          <t>Föryngringsavverkning</t>
        </is>
      </c>
      <c r="D123" s="1" t="n">
        <v>46091</v>
      </c>
      <c r="E123" s="1" t="n">
        <v>46227</v>
      </c>
      <c r="F123" t="inlineStr">
        <is>
          <t>VÄSTMANLANDS LÄN</t>
        </is>
      </c>
      <c r="G123" t="inlineStr">
        <is>
          <t>SURAHAMMAR</t>
        </is>
      </c>
      <c r="H123" t="inlineStr">
        <is>
          <t>Bergvik skog väst AB</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25450-2024</t>
        </is>
      </c>
      <c r="B124" t="inlineStr">
        <is>
          <t>avverkningsanmälan</t>
        </is>
      </c>
      <c r="C124" t="inlineStr">
        <is>
          <t>Föryngringsavverkning</t>
        </is>
      </c>
      <c r="D124" s="1" t="n">
        <v>45463</v>
      </c>
      <c r="E124" s="1" t="n">
        <v>46227</v>
      </c>
      <c r="F124" t="inlineStr">
        <is>
          <t>VÄSTMANLANDS LÄN</t>
        </is>
      </c>
      <c r="G124" t="inlineStr">
        <is>
          <t>SURAHAMMAR</t>
        </is>
      </c>
      <c r="H124" t="inlineStr">
        <is>
          <t>Bergvik skog väst AB</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24665-2023</t>
        </is>
      </c>
      <c r="B125" t="inlineStr">
        <is>
          <t>avverkningsanmälan</t>
        </is>
      </c>
      <c r="C125" t="inlineStr">
        <is>
          <t>Föryngringsavverkning</t>
        </is>
      </c>
      <c r="D125" s="1" t="n">
        <v>45084</v>
      </c>
      <c r="E125" s="1" t="n">
        <v>46227</v>
      </c>
      <c r="F125" t="inlineStr">
        <is>
          <t>VÄSTMANLANDS LÄN</t>
        </is>
      </c>
      <c r="G125" t="inlineStr">
        <is>
          <t>SURAHAMMAR</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19246-2026</t>
        </is>
      </c>
      <c r="B126" t="inlineStr">
        <is>
          <t>avverkningsanmälan</t>
        </is>
      </c>
      <c r="C126" t="inlineStr">
        <is>
          <t>Avverkning för annat ändamål</t>
        </is>
      </c>
      <c r="D126" s="1" t="n">
        <v>46132</v>
      </c>
      <c r="E126" s="1" t="n">
        <v>46227</v>
      </c>
      <c r="F126" t="inlineStr">
        <is>
          <t>VÄSTMANLANDS LÄN</t>
        </is>
      </c>
      <c r="G126" t="inlineStr">
        <is>
          <t>SURAHAMMAR</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72367-2021</t>
        </is>
      </c>
      <c r="B127" t="inlineStr">
        <is>
          <t>avverkningsanmälan</t>
        </is>
      </c>
      <c r="C127" t="inlineStr">
        <is>
          <t>Föryngringsavverkning</t>
        </is>
      </c>
      <c r="D127" s="1" t="n">
        <v>44545</v>
      </c>
      <c r="E127" s="1" t="n">
        <v>46227</v>
      </c>
      <c r="F127" t="inlineStr">
        <is>
          <t>VÄSTMANLANDS LÄN</t>
        </is>
      </c>
      <c r="G127" t="inlineStr">
        <is>
          <t>SURAHAMMAR</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42714-2022</t>
        </is>
      </c>
      <c r="B128" t="inlineStr">
        <is>
          <t>avverkningsanmälan</t>
        </is>
      </c>
      <c r="C128" t="inlineStr">
        <is>
          <t>Föryngringsavverkning</t>
        </is>
      </c>
      <c r="D128" s="1" t="n">
        <v>44832</v>
      </c>
      <c r="E128" s="1" t="n">
        <v>46227</v>
      </c>
      <c r="F128" t="inlineStr">
        <is>
          <t>VÄSTMANLANDS LÄN</t>
        </is>
      </c>
      <c r="G128" t="inlineStr">
        <is>
          <t>SURAHAMMAR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19099-2022</t>
        </is>
      </c>
      <c r="B129" t="inlineStr">
        <is>
          <t>avverkningsanmälan</t>
        </is>
      </c>
      <c r="C129" t="inlineStr">
        <is>
          <t>Föryngringsavverkning</t>
        </is>
      </c>
      <c r="D129" s="1" t="n">
        <v>44691</v>
      </c>
      <c r="E129" s="1" t="n">
        <v>46227</v>
      </c>
      <c r="F129" t="inlineStr">
        <is>
          <t>VÄSTMANLANDS LÄN</t>
        </is>
      </c>
      <c r="G129" t="inlineStr">
        <is>
          <t>SURAHAMMAR</t>
        </is>
      </c>
      <c r="H129" t="inlineStr">
        <is>
          <t>Övriga Aktiebolag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25780-2023</t>
        </is>
      </c>
      <c r="B130" t="inlineStr">
        <is>
          <t>avverkningsanmälan</t>
        </is>
      </c>
      <c r="C130" t="inlineStr">
        <is>
          <t>Föryngringsavverkning</t>
        </is>
      </c>
      <c r="D130" s="1" t="n">
        <v>45090</v>
      </c>
      <c r="E130" s="1" t="n">
        <v>46227</v>
      </c>
      <c r="F130" t="inlineStr">
        <is>
          <t>VÄSTMANLANDS LÄN</t>
        </is>
      </c>
      <c r="G130" t="inlineStr">
        <is>
          <t>SURAHAMMAR</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32808-2024</t>
        </is>
      </c>
      <c r="B131" t="inlineStr">
        <is>
          <t>avverkningsanmälan</t>
        </is>
      </c>
      <c r="C131" t="inlineStr">
        <is>
          <t>Föryngringsavverkning</t>
        </is>
      </c>
      <c r="D131" s="1" t="n">
        <v>45516</v>
      </c>
      <c r="E131" s="1" t="n">
        <v>46227</v>
      </c>
      <c r="F131" t="inlineStr">
        <is>
          <t>VÄSTMANLANDS LÄN</t>
        </is>
      </c>
      <c r="G131" t="inlineStr">
        <is>
          <t>SURAHAMMAR</t>
        </is>
      </c>
      <c r="H131" t="inlineStr">
        <is>
          <t>Övriga Aktiebolag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20535-2026</t>
        </is>
      </c>
      <c r="B132" t="inlineStr">
        <is>
          <t>avverkningsanmälan</t>
        </is>
      </c>
      <c r="C132" t="inlineStr">
        <is>
          <t>Avverkning för annat ändamål</t>
        </is>
      </c>
      <c r="D132" s="1" t="n">
        <v>46140</v>
      </c>
      <c r="E132" s="1" t="n">
        <v>46227</v>
      </c>
      <c r="F132" t="inlineStr">
        <is>
          <t>VÄSTMANLANDS LÄN</t>
        </is>
      </c>
      <c r="G132" t="inlineStr">
        <is>
          <t>SURAHAMMAR</t>
        </is>
      </c>
      <c r="H132" t="inlineStr">
        <is>
          <t>Bergvik skog väst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35682-2022</t>
        </is>
      </c>
      <c r="B133" t="inlineStr">
        <is>
          <t>avverkningsanmälan</t>
        </is>
      </c>
      <c r="C133" t="inlineStr">
        <is>
          <t>Föryngringsavverkning</t>
        </is>
      </c>
      <c r="D133" s="1" t="n">
        <v>44799</v>
      </c>
      <c r="E133" s="1" t="n">
        <v>46227</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49058-2024</t>
        </is>
      </c>
      <c r="B134" t="inlineStr">
        <is>
          <t>avverkningsanmälan</t>
        </is>
      </c>
      <c r="C134" t="inlineStr">
        <is>
          <t>Föryngringsavverkning</t>
        </is>
      </c>
      <c r="D134" s="1" t="n">
        <v>45594</v>
      </c>
      <c r="E134" s="1" t="n">
        <v>46227</v>
      </c>
      <c r="F134" t="inlineStr">
        <is>
          <t>VÄSTMANLANDS LÄN</t>
        </is>
      </c>
      <c r="G134" t="inlineStr">
        <is>
          <t>SURAHAMMAR</t>
        </is>
      </c>
      <c r="H134" t="inlineStr">
        <is>
          <t>Sveaskog</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2867-2024</t>
        </is>
      </c>
      <c r="B135" t="inlineStr">
        <is>
          <t>avverkningsanmälan</t>
        </is>
      </c>
      <c r="C135" t="inlineStr">
        <is>
          <t>Föryngringsavverkning</t>
        </is>
      </c>
      <c r="D135" s="1" t="n">
        <v>45315</v>
      </c>
      <c r="E135" s="1" t="n">
        <v>46227</v>
      </c>
      <c r="F135" t="inlineStr">
        <is>
          <t>VÄSTMANLANDS LÄN</t>
        </is>
      </c>
      <c r="G135" t="inlineStr">
        <is>
          <t>SURAHAMMAR</t>
        </is>
      </c>
      <c r="H135" t="inlineStr">
        <is>
          <t>Bergvik skog väst AB</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2660-2024</t>
        </is>
      </c>
      <c r="B136" t="inlineStr">
        <is>
          <t>avverkningsanmälan</t>
        </is>
      </c>
      <c r="C136" t="inlineStr">
        <is>
          <t>Föryngringsavverkning</t>
        </is>
      </c>
      <c r="D136" s="1" t="n">
        <v>45310</v>
      </c>
      <c r="E136" s="1" t="n">
        <v>46227</v>
      </c>
      <c r="F136" t="inlineStr">
        <is>
          <t>VÄSTMANLANDS LÄN</t>
        </is>
      </c>
      <c r="G136" t="inlineStr">
        <is>
          <t>SURAHAMMAR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5567-2022</t>
        </is>
      </c>
      <c r="B137" t="inlineStr">
        <is>
          <t>avverkningsanmälan</t>
        </is>
      </c>
      <c r="C137" t="inlineStr">
        <is>
          <t>Föryngringsavverkning</t>
        </is>
      </c>
      <c r="D137" s="1" t="n">
        <v>44595</v>
      </c>
      <c r="E137" s="1" t="n">
        <v>46227</v>
      </c>
      <c r="F137" t="inlineStr">
        <is>
          <t>VÄSTMANLANDS LÄN</t>
        </is>
      </c>
      <c r="G137" t="inlineStr">
        <is>
          <t>SURAHAMMAR</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46227</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22630-2026</t>
        </is>
      </c>
      <c r="B139" t="inlineStr">
        <is>
          <t>avverkningsanmälan</t>
        </is>
      </c>
      <c r="C139" t="inlineStr">
        <is>
          <t>Föryngringsavverkning</t>
        </is>
      </c>
      <c r="D139" s="1" t="n">
        <v>46155</v>
      </c>
      <c r="E139" s="1" t="n">
        <v>46227</v>
      </c>
      <c r="F139" t="inlineStr">
        <is>
          <t>VÄSTMANLANDS LÄN</t>
        </is>
      </c>
      <c r="G139" t="inlineStr">
        <is>
          <t>SURAHAMMAR</t>
        </is>
      </c>
      <c r="H139" t="inlineStr">
        <is>
          <t>Sveaskog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22626-2026</t>
        </is>
      </c>
      <c r="B140" t="inlineStr">
        <is>
          <t>avverkningsanmälan</t>
        </is>
      </c>
      <c r="C140" t="inlineStr">
        <is>
          <t>Föryngringsavverkning</t>
        </is>
      </c>
      <c r="D140" s="1" t="n">
        <v>46155</v>
      </c>
      <c r="E140" s="1" t="n">
        <v>46227</v>
      </c>
      <c r="F140" t="inlineStr">
        <is>
          <t>VÄSTMANLANDS LÄN</t>
        </is>
      </c>
      <c r="G140" t="inlineStr">
        <is>
          <t>SURAHAMMAR</t>
        </is>
      </c>
      <c r="H140" t="inlineStr">
        <is>
          <t>Sveaskog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3085-2023</t>
        </is>
      </c>
      <c r="B141" t="inlineStr">
        <is>
          <t>avverkningsanmälan</t>
        </is>
      </c>
      <c r="C141" t="inlineStr">
        <is>
          <t>Föryngringsavverkning</t>
        </is>
      </c>
      <c r="D141" s="1" t="n">
        <v>44946</v>
      </c>
      <c r="E141" s="1" t="n">
        <v>46227</v>
      </c>
      <c r="F141" t="inlineStr">
        <is>
          <t>VÄSTMANLANDS LÄN</t>
        </is>
      </c>
      <c r="G141" t="inlineStr">
        <is>
          <t>SURAHAMMAR</t>
        </is>
      </c>
      <c r="H141" t="inlineStr">
        <is>
          <t>Kyrkan</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7848-2022</t>
        </is>
      </c>
      <c r="B142" t="inlineStr">
        <is>
          <t>avverkningsanmälan</t>
        </is>
      </c>
      <c r="C142" t="inlineStr">
        <is>
          <t>Föryngringsavverkning</t>
        </is>
      </c>
      <c r="D142" s="1" t="n">
        <v>44608</v>
      </c>
      <c r="E142" s="1" t="n">
        <v>46227</v>
      </c>
      <c r="F142" t="inlineStr">
        <is>
          <t>VÄSTMANLANDS LÄN</t>
        </is>
      </c>
      <c r="G142" t="inlineStr">
        <is>
          <t>SURAHAMMAR</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24201-2026</t>
        </is>
      </c>
      <c r="B143" t="inlineStr">
        <is>
          <t>avverkningsanmälan</t>
        </is>
      </c>
      <c r="C143" t="inlineStr">
        <is>
          <t>Föryngringsavverkning</t>
        </is>
      </c>
      <c r="D143" s="1" t="n">
        <v>46168</v>
      </c>
      <c r="E143" s="1" t="n">
        <v>46227</v>
      </c>
      <c r="F143" t="inlineStr">
        <is>
          <t>VÄSTMANLANDS LÄN</t>
        </is>
      </c>
      <c r="G143" t="inlineStr">
        <is>
          <t>SURAHAMMAR</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31061-2026</t>
        </is>
      </c>
      <c r="B144" t="inlineStr">
        <is>
          <t>avverkningsanmälan</t>
        </is>
      </c>
      <c r="C144" t="inlineStr">
        <is>
          <t>Föryngringsavverkning</t>
        </is>
      </c>
      <c r="D144" s="1" t="n">
        <v>46215</v>
      </c>
      <c r="E144" s="1" t="n">
        <v>46227</v>
      </c>
      <c r="F144" t="inlineStr">
        <is>
          <t>VÄSTMANLANDS LÄN</t>
        </is>
      </c>
      <c r="G144" t="inlineStr">
        <is>
          <t>SURAHAMMAR</t>
        </is>
      </c>
      <c r="H144" t="inlineStr">
        <is>
          <t>Sveaskog</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15743-2023</t>
        </is>
      </c>
      <c r="B145" t="inlineStr">
        <is>
          <t>avverkningsanmälan</t>
        </is>
      </c>
      <c r="C145" t="inlineStr">
        <is>
          <t>Föryngringsavverkning</t>
        </is>
      </c>
      <c r="D145" s="1" t="n">
        <v>45021</v>
      </c>
      <c r="E145" s="1" t="n">
        <v>46227</v>
      </c>
      <c r="F145" t="inlineStr">
        <is>
          <t>VÄSTMANLANDS LÄN</t>
        </is>
      </c>
      <c r="G145" t="inlineStr">
        <is>
          <t>SURAHAMMAR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15637-2022</t>
        </is>
      </c>
      <c r="B146" t="inlineStr">
        <is>
          <t>avverkningsanmälan</t>
        </is>
      </c>
      <c r="C146" t="inlineStr">
        <is>
          <t>Föryngringsavverkning</t>
        </is>
      </c>
      <c r="D146" s="1" t="n">
        <v>44662</v>
      </c>
      <c r="E146" s="1" t="n">
        <v>46227</v>
      </c>
      <c r="F146" t="inlineStr">
        <is>
          <t>VÄSTMANLANDS LÄN</t>
        </is>
      </c>
      <c r="G146" t="inlineStr">
        <is>
          <t>SURAHAMMAR</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19786-2023</t>
        </is>
      </c>
      <c r="B147" t="inlineStr">
        <is>
          <t>avverkningsanmälan</t>
        </is>
      </c>
      <c r="C147" t="inlineStr">
        <is>
          <t>Föryngringsavverkning</t>
        </is>
      </c>
      <c r="D147" s="1" t="n">
        <v>45050</v>
      </c>
      <c r="E147" s="1" t="n">
        <v>46227</v>
      </c>
      <c r="F147" t="inlineStr">
        <is>
          <t>VÄSTMANLANDS LÄN</t>
        </is>
      </c>
      <c r="G147" t="inlineStr">
        <is>
          <t>SURAHAMMAR</t>
        </is>
      </c>
      <c r="H147" t="inlineStr">
        <is>
          <t>Bergvik skog väst AB</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3543-2022</t>
        </is>
      </c>
      <c r="B148" t="inlineStr">
        <is>
          <t>samrådsanmälan</t>
        </is>
      </c>
      <c r="C148" t="inlineStr">
        <is>
          <t>Skogsbilväg</t>
        </is>
      </c>
      <c r="D148" s="1" t="n">
        <v>44734</v>
      </c>
      <c r="E148" s="1" t="n">
        <v>46227</v>
      </c>
      <c r="F148" t="inlineStr">
        <is>
          <t>VÄSTMANLANDS LÄN</t>
        </is>
      </c>
      <c r="G148" t="inlineStr">
        <is>
          <t>SURAHAMMAR</t>
        </is>
      </c>
      <c r="H148" t="inlineStr">
        <is>
          <t>Bergvik skog väst AB</t>
        </is>
      </c>
      <c r="I148" t="n">
        <v>1.1</v>
      </c>
      <c r="J148" t="n">
        <v>0</v>
      </c>
      <c r="K148" t="n">
        <v>0</v>
      </c>
      <c r="L148" t="n">
        <v>0</v>
      </c>
      <c r="M148" t="n">
        <v>0</v>
      </c>
      <c r="N148" t="n">
        <v>0</v>
      </c>
      <c r="O148" t="n">
        <v>0</v>
      </c>
      <c r="P148" t="n">
        <v>0</v>
      </c>
      <c r="Q148" t="n">
        <v>0</v>
      </c>
      <c r="R148" t="n">
        <v>0</v>
      </c>
      <c r="S148" t="n">
        <v>0</v>
      </c>
      <c r="T148" t="n">
        <v>0</v>
      </c>
      <c r="U148" t="n">
        <v>0</v>
      </c>
      <c r="V148" s="2" t="inlineStr"/>
    </row>
    <row r="149">
      <c r="A149" t="inlineStr">
        <is>
          <t>S 3542-2022</t>
        </is>
      </c>
      <c r="B149" t="inlineStr">
        <is>
          <t>samrådsanmälan</t>
        </is>
      </c>
      <c r="C149" t="inlineStr">
        <is>
          <t>Skogsbilväg</t>
        </is>
      </c>
      <c r="D149" s="1" t="n">
        <v>44734</v>
      </c>
      <c r="E149" s="1" t="n">
        <v>46227</v>
      </c>
      <c r="F149" t="inlineStr">
        <is>
          <t>VÄSTMANLANDS LÄN</t>
        </is>
      </c>
      <c r="G149" t="inlineStr">
        <is>
          <t>SURAHAMMAR</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2026-07-24T01:50:04Z</dcterms:created>
  <dcterms:modified xmlns:dcterms="http://purl.org/dc/terms/" xmlns:xsi="http://www.w3.org/2001/XMLSchema-instance" xsi:type="dcterms:W3CDTF">2026-07-24T01:50:05Z</dcterms:modified>
</cp:coreProperties>
</file>