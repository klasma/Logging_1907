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46288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46288</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46288</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46288</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46288</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46288</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46288</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46288</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46288</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46288</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46288</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46288</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46288</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46288</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46288</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46288</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46288</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46288</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46288</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46288</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46288</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46288</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46288</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46288</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46288</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46288</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46288</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46288</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46288</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46288</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46288</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46288</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46288</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46288</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39694-2025</t>
        </is>
      </c>
      <c r="B44" t="inlineStr">
        <is>
          <t>avverkningsanmälan</t>
        </is>
      </c>
      <c r="C44" t="inlineStr">
        <is>
          <t>Föryngringsavverkning</t>
        </is>
      </c>
      <c r="D44" s="1" t="n">
        <v>45890</v>
      </c>
      <c r="E44" s="1" t="n">
        <v>46288</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42765-2022</t>
        </is>
      </c>
      <c r="B45" t="inlineStr">
        <is>
          <t>avverkningsanmälan</t>
        </is>
      </c>
      <c r="C45" t="inlineStr">
        <is>
          <t>Avverkning för annat ändamål</t>
        </is>
      </c>
      <c r="D45" s="1" t="n">
        <v>44832</v>
      </c>
      <c r="E45" s="1" t="n">
        <v>46288</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46288</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46288</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69777-2021</t>
        </is>
      </c>
      <c r="B48" t="inlineStr">
        <is>
          <t>avverkningsanmälan</t>
        </is>
      </c>
      <c r="C48" t="inlineStr">
        <is>
          <t>Föryngringsavverkning</t>
        </is>
      </c>
      <c r="D48" s="1" t="n">
        <v>44532</v>
      </c>
      <c r="E48" s="1" t="n">
        <v>46288</v>
      </c>
      <c r="F48" t="inlineStr">
        <is>
          <t>VÄSTMANLANDS LÄN</t>
        </is>
      </c>
      <c r="G48" t="inlineStr">
        <is>
          <t>SURAHAMMAR</t>
        </is>
      </c>
      <c r="I48" t="n">
        <v>2.3</v>
      </c>
      <c r="J48" t="n">
        <v>1</v>
      </c>
      <c r="K48" t="n">
        <v>2</v>
      </c>
      <c r="L48" t="n">
        <v>0</v>
      </c>
      <c r="M48" t="n">
        <v>0</v>
      </c>
      <c r="N48" t="n">
        <v>1</v>
      </c>
      <c r="O48" t="n">
        <v>0</v>
      </c>
      <c r="P48" t="n">
        <v>0</v>
      </c>
      <c r="Q48" t="n">
        <v>1</v>
      </c>
      <c r="R48" t="n">
        <v>1</v>
      </c>
      <c r="S48" t="n">
        <v>3</v>
      </c>
      <c r="T48" t="n">
        <v>5</v>
      </c>
      <c r="U48" t="n">
        <v>0</v>
      </c>
      <c r="V48" s="2" t="inlineStr">
        <is>
          <t>Bombmurkla
Rävticka
Vedticka</t>
        </is>
      </c>
      <c r="W48">
        <f>HYPERLINK("https://klasma.github.io/Logging_1907/artfynd/A 69777-2021 artfynd.xlsx", "A 69777-2021")</f>
        <v/>
      </c>
      <c r="X48">
        <f>HYPERLINK("https://klasma.github.io/Logging_1907/kartor/A 69777-2021 karta.png", "A 69777-2021")</f>
        <v/>
      </c>
      <c r="Y48">
        <f>HYPERLINK("https://klasma.github.io/Logging_1907/kartor_geotiff/A 69777-2021 georefererad karta.tif", "A 69777-2021")</f>
        <v/>
      </c>
      <c r="AA48">
        <f>HYPERLINK("https://klasma.github.io/Logging_1907/klagomål/A 69777-2021 FSC-klagomål.docx", "A 69777-2021")</f>
        <v/>
      </c>
      <c r="AB48">
        <f>HYPERLINK("https://klasma.github.io/Logging_1907/klagomålsmail/A 69777-2021 FSC-klagomål mail.docx", "A 69777-2021")</f>
        <v/>
      </c>
      <c r="AC48">
        <f>HYPERLINK("https://klasma.github.io/Logging_1907/tillsyn/A 69777-2021 tillsynsbegäran.docx", "A 69777-2021")</f>
        <v/>
      </c>
      <c r="AD48">
        <f>HYPERLINK("https://klasma.github.io/Logging_1907/tillsynsmail/A 69777-2021 tillsynsbegäran mail.docx", "A 69777-2021")</f>
        <v/>
      </c>
    </row>
    <row r="49" ht="15" customHeight="1">
      <c r="A49" t="inlineStr">
        <is>
          <t>A 63146-2025</t>
        </is>
      </c>
      <c r="B49" t="inlineStr">
        <is>
          <t>avverkningsanmälan</t>
        </is>
      </c>
      <c r="C49" t="inlineStr">
        <is>
          <t>Föryngringsavverkning</t>
        </is>
      </c>
      <c r="D49" s="1" t="n">
        <v>46009</v>
      </c>
      <c r="E49" s="1" t="n">
        <v>46288</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33935-2026</t>
        </is>
      </c>
      <c r="B50" t="inlineStr">
        <is>
          <t>avverkningsanmälan</t>
        </is>
      </c>
      <c r="C50" t="inlineStr">
        <is>
          <t>Föryngringsavverkning</t>
        </is>
      </c>
      <c r="D50" s="1" t="n">
        <v>46248</v>
      </c>
      <c r="E50" s="1" t="n">
        <v>46288</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A 36264-2026</t>
        </is>
      </c>
      <c r="B51" t="inlineStr">
        <is>
          <t>avverkningsanmälan</t>
        </is>
      </c>
      <c r="C51" t="inlineStr">
        <is>
          <t>Föryngringsavverkning</t>
        </is>
      </c>
      <c r="D51" s="1" t="n">
        <v>46268</v>
      </c>
      <c r="E51" s="1" t="n">
        <v>46288</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A 32443-2026</t>
        </is>
      </c>
      <c r="B52" t="inlineStr">
        <is>
          <t>avverkningsanmälan</t>
        </is>
      </c>
      <c r="C52" t="inlineStr">
        <is>
          <t>Föryngringsavverkning</t>
        </is>
      </c>
      <c r="D52" s="1" t="n">
        <v>46239</v>
      </c>
      <c r="E52" s="1" t="n">
        <v>46288</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46288</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46288</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46288</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46288</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47453-2024</t>
        </is>
      </c>
      <c r="B57" t="inlineStr">
        <is>
          <t>avverkningsanmälan</t>
        </is>
      </c>
      <c r="C57" t="inlineStr">
        <is>
          <t>Föryngringsavverkning</t>
        </is>
      </c>
      <c r="D57" s="1" t="n">
        <v>45587</v>
      </c>
      <c r="E57" s="1" t="n">
        <v>46288</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56362-2023</t>
        </is>
      </c>
      <c r="B58" t="inlineStr">
        <is>
          <t>avverkningsanmälan</t>
        </is>
      </c>
      <c r="C58" t="inlineStr">
        <is>
          <t>Föryngringsavverkning</t>
        </is>
      </c>
      <c r="D58" s="1" t="n">
        <v>45236</v>
      </c>
      <c r="E58" s="1" t="n">
        <v>46288</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37013-2025</t>
        </is>
      </c>
      <c r="B59" t="inlineStr">
        <is>
          <t>avverkningsanmälan</t>
        </is>
      </c>
      <c r="C59" t="inlineStr">
        <is>
          <t>Föryngringsavverkning</t>
        </is>
      </c>
      <c r="D59" s="1" t="n">
        <v>45874</v>
      </c>
      <c r="E59" s="1" t="n">
        <v>46288</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40403-2025</t>
        </is>
      </c>
      <c r="B60" t="inlineStr">
        <is>
          <t>avverkningsanmälan</t>
        </is>
      </c>
      <c r="C60" t="inlineStr">
        <is>
          <t>Föryngringsavverkning</t>
        </is>
      </c>
      <c r="D60" s="1" t="n">
        <v>45895</v>
      </c>
      <c r="E60" s="1" t="n">
        <v>46288</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63138-2025</t>
        </is>
      </c>
      <c r="B61" t="inlineStr">
        <is>
          <t>avverkningsanmälan</t>
        </is>
      </c>
      <c r="C61" t="inlineStr">
        <is>
          <t>Föryngringsavverkning</t>
        </is>
      </c>
      <c r="D61" s="1" t="n">
        <v>46009</v>
      </c>
      <c r="E61" s="1" t="n">
        <v>46288</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41204-2023</t>
        </is>
      </c>
      <c r="B62" t="inlineStr">
        <is>
          <t>avverkningsanmälan</t>
        </is>
      </c>
      <c r="C62" t="inlineStr">
        <is>
          <t>Föryngringsavverkning</t>
        </is>
      </c>
      <c r="D62" s="1" t="n">
        <v>45174</v>
      </c>
      <c r="E62" s="1" t="n">
        <v>46288</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11501-2023</t>
        </is>
      </c>
      <c r="B63" t="inlineStr">
        <is>
          <t>avverkningsanmälan</t>
        </is>
      </c>
      <c r="C63" t="inlineStr">
        <is>
          <t>Föryngringsavverkning</t>
        </is>
      </c>
      <c r="D63" s="1" t="n">
        <v>44991</v>
      </c>
      <c r="E63" s="1" t="n">
        <v>46288</v>
      </c>
      <c r="F63" t="inlineStr">
        <is>
          <t>VÄSTMANLANDS LÄN</t>
        </is>
      </c>
      <c r="G63" t="inlineStr">
        <is>
          <t>SURAHAMMAR</t>
        </is>
      </c>
      <c r="H63" t="inlineStr">
        <is>
          <t>Bergvik skog väst AB</t>
        </is>
      </c>
      <c r="I63" t="n">
        <v>1.1</v>
      </c>
      <c r="J63" t="n">
        <v>1</v>
      </c>
      <c r="K63" t="n">
        <v>1</v>
      </c>
      <c r="L63" t="n">
        <v>0</v>
      </c>
      <c r="M63" t="n">
        <v>0</v>
      </c>
      <c r="N63" t="n">
        <v>0</v>
      </c>
      <c r="O63" t="n">
        <v>0</v>
      </c>
      <c r="P63" t="n">
        <v>0</v>
      </c>
      <c r="Q63" t="n">
        <v>0</v>
      </c>
      <c r="R63" t="n">
        <v>0</v>
      </c>
      <c r="S63" t="n">
        <v>2</v>
      </c>
      <c r="T63" t="n">
        <v>2</v>
      </c>
      <c r="U63" t="n">
        <v>2</v>
      </c>
      <c r="V63" s="2" t="inlineStr">
        <is>
          <t>Svart trolldruva
Nattviol</t>
        </is>
      </c>
      <c r="W63">
        <f>HYPERLINK("https://klasma.github.io/Logging_1907/artfynd/A 11501-2023 artfynd.xlsx", "A 11501-2023")</f>
        <v/>
      </c>
      <c r="X63">
        <f>HYPERLINK("https://klasma.github.io/Logging_1907/kartor/A 11501-2023 karta.png", "A 11501-2023")</f>
        <v/>
      </c>
      <c r="Y63">
        <f>HYPERLINK("https://klasma.github.io/Logging_1907/kartor_geotiff/A 11501-2023 georefererad karta.tif", "A 11501-2023")</f>
        <v/>
      </c>
      <c r="AA63">
        <f>HYPERLINK("https://klasma.github.io/Logging_1907/klagomål/A 11501-2023 FSC-klagomål.docx", "A 11501-2023")</f>
        <v/>
      </c>
      <c r="AB63">
        <f>HYPERLINK("https://klasma.github.io/Logging_1907/klagomålsmail/A 11501-2023 FSC-klagomål mail.docx", "A 11501-2023")</f>
        <v/>
      </c>
      <c r="AC63">
        <f>HYPERLINK("https://klasma.github.io/Logging_1907/tillsyn/A 11501-2023 tillsynsbegäran.docx", "A 11501-2023")</f>
        <v/>
      </c>
      <c r="AD63">
        <f>HYPERLINK("https://klasma.github.io/Logging_1907/tillsynsmail/A 11501-2023 tillsynsbegäran mail.docx", "A 11501-2023")</f>
        <v/>
      </c>
    </row>
    <row r="64" ht="15" customHeight="1">
      <c r="A64" t="inlineStr">
        <is>
          <t>A 14001-2023</t>
        </is>
      </c>
      <c r="B64" t="inlineStr">
        <is>
          <t>avverkningsanmälan</t>
        </is>
      </c>
      <c r="C64" t="inlineStr">
        <is>
          <t>Föryngringsavverkning</t>
        </is>
      </c>
      <c r="D64" s="1" t="n">
        <v>45007</v>
      </c>
      <c r="E64" s="1" t="n">
        <v>46288</v>
      </c>
      <c r="F64" t="inlineStr">
        <is>
          <t>VÄSTMANLANDS LÄN</t>
        </is>
      </c>
      <c r="G64" t="inlineStr">
        <is>
          <t>SURAHAMMAR</t>
        </is>
      </c>
      <c r="H64" t="inlineStr">
        <is>
          <t>Bergvik skog väst AB</t>
        </is>
      </c>
      <c r="I64" t="n">
        <v>1</v>
      </c>
      <c r="J64" t="n">
        <v>0</v>
      </c>
      <c r="K64" t="n">
        <v>0</v>
      </c>
      <c r="L64" t="n">
        <v>1</v>
      </c>
      <c r="M64" t="n">
        <v>1</v>
      </c>
      <c r="N64" t="n">
        <v>0</v>
      </c>
      <c r="O64" t="n">
        <v>0</v>
      </c>
      <c r="P64" t="n">
        <v>0</v>
      </c>
      <c r="Q64" t="n">
        <v>2</v>
      </c>
      <c r="R64" t="n">
        <v>1</v>
      </c>
      <c r="S64" t="n">
        <v>2</v>
      </c>
      <c r="T64" t="n">
        <v>2</v>
      </c>
      <c r="U64" t="n">
        <v>0</v>
      </c>
      <c r="V64" s="2" t="inlineStr">
        <is>
          <t>Garnlav
Motaggsvamp</t>
        </is>
      </c>
      <c r="W64">
        <f>HYPERLINK("https://klasma.github.io/Logging_1907/artfynd/A 14001-2023 artfynd.xlsx", "A 14001-2023")</f>
        <v/>
      </c>
      <c r="X64">
        <f>HYPERLINK("https://klasma.github.io/Logging_1907/kartor/A 14001-2023 karta.png", "A 14001-2023")</f>
        <v/>
      </c>
      <c r="Y64">
        <f>HYPERLINK("https://klasma.github.io/Logging_1907/kartor_geotiff/A 14001-2023 georefererad karta.tif", "A 14001-2023")</f>
        <v/>
      </c>
      <c r="AA64">
        <f>HYPERLINK("https://klasma.github.io/Logging_1907/klagomål/A 14001-2023 FSC-klagomål.docx", "A 14001-2023")</f>
        <v/>
      </c>
      <c r="AB64">
        <f>HYPERLINK("https://klasma.github.io/Logging_1907/klagomålsmail/A 14001-2023 FSC-klagomål mail.docx", "A 14001-2023")</f>
        <v/>
      </c>
      <c r="AC64">
        <f>HYPERLINK("https://klasma.github.io/Logging_1907/tillsyn/A 14001-2023 tillsynsbegäran.docx", "A 14001-2023")</f>
        <v/>
      </c>
      <c r="AD64">
        <f>HYPERLINK("https://klasma.github.io/Logging_1907/tillsynsmail/A 14001-2023 tillsynsbegäran mail.docx", "A 14001-2023")</f>
        <v/>
      </c>
    </row>
    <row r="65" ht="15" customHeight="1">
      <c r="A65" t="inlineStr">
        <is>
          <t>A 36261-2026</t>
        </is>
      </c>
      <c r="B65" t="inlineStr">
        <is>
          <t>avverkningsanmälan</t>
        </is>
      </c>
      <c r="C65" t="inlineStr">
        <is>
          <t>Föryngringsavverkning</t>
        </is>
      </c>
      <c r="D65" s="1" t="n">
        <v>46268</v>
      </c>
      <c r="E65" s="1" t="n">
        <v>46288</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13971-2023</t>
        </is>
      </c>
      <c r="B66" t="inlineStr">
        <is>
          <t>avverkningsanmälan</t>
        </is>
      </c>
      <c r="C66" t="inlineStr">
        <is>
          <t>Föryngringsavverkning</t>
        </is>
      </c>
      <c r="D66" s="1" t="n">
        <v>45007</v>
      </c>
      <c r="E66" s="1" t="n">
        <v>46288</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46288</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46288</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46288</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46288</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46288</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46288</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46288</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46288</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46288</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39099-2022</t>
        </is>
      </c>
      <c r="B76" t="inlineStr">
        <is>
          <t>avverkningsanmälan</t>
        </is>
      </c>
      <c r="C76" t="inlineStr">
        <is>
          <t>Föryngringsavverkning</t>
        </is>
      </c>
      <c r="D76" s="1" t="n">
        <v>44817</v>
      </c>
      <c r="E76" s="1" t="n">
        <v>46288</v>
      </c>
      <c r="F76" t="inlineStr">
        <is>
          <t>VÄSTMANLANDS LÄN</t>
        </is>
      </c>
      <c r="G76" t="inlineStr">
        <is>
          <t>SURAHAMMAR</t>
        </is>
      </c>
      <c r="H76" t="inlineStr">
        <is>
          <t>Bergvik skog väst AB</t>
        </is>
      </c>
      <c r="I76" t="n">
        <v>7.4</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HYPERLINK("https://klasma.github.io/Logging_1907/artfynd/A 39099-2022 artfynd.xlsx", "A 39099-2022")</f>
        <v/>
      </c>
      <c r="X76">
        <f>HYPERLINK("https://klasma.github.io/Logging_1907/kartor/A 39099-2022 karta.png", "A 39099-2022")</f>
        <v/>
      </c>
      <c r="Y76">
        <f>HYPERLINK("https://klasma.github.io/Logging_1907/kartor_geotiff/A 39099-2022 georefererad karta.tif", "A 39099-2022")</f>
        <v/>
      </c>
      <c r="AA76">
        <f>HYPERLINK("https://klasma.github.io/Logging_1907/klagomål/A 39099-2022 FSC-klagomål.docx", "A 39099-2022")</f>
        <v/>
      </c>
      <c r="AB76">
        <f>HYPERLINK("https://klasma.github.io/Logging_1907/klagomålsmail/A 39099-2022 FSC-klagomål mail.docx", "A 39099-2022")</f>
        <v/>
      </c>
      <c r="AC76">
        <f>HYPERLINK("https://klasma.github.io/Logging_1907/tillsyn/A 39099-2022 tillsynsbegäran.docx", "A 39099-2022")</f>
        <v/>
      </c>
      <c r="AD76">
        <f>HYPERLINK("https://klasma.github.io/Logging_1907/tillsynsmail/A 39099-2022 tillsynsbegäran mail.docx", "A 39099-2022")</f>
        <v/>
      </c>
    </row>
    <row r="77" ht="15" customHeight="1">
      <c r="A77" t="inlineStr">
        <is>
          <t>A 17632-2022</t>
        </is>
      </c>
      <c r="B77" t="inlineStr">
        <is>
          <t>avverkningsanmälan</t>
        </is>
      </c>
      <c r="C77" t="inlineStr">
        <is>
          <t>Föryngringsavverkning</t>
        </is>
      </c>
      <c r="D77" s="1" t="n">
        <v>44680</v>
      </c>
      <c r="E77" s="1" t="n">
        <v>46288</v>
      </c>
      <c r="F77" t="inlineStr">
        <is>
          <t>VÄSTMANLANDS LÄN</t>
        </is>
      </c>
      <c r="G77" t="inlineStr">
        <is>
          <t>SURAHAMMAR</t>
        </is>
      </c>
      <c r="I77" t="n">
        <v>5.2</v>
      </c>
      <c r="J77" t="n">
        <v>0</v>
      </c>
      <c r="K77" t="n">
        <v>1</v>
      </c>
      <c r="L77" t="n">
        <v>0</v>
      </c>
      <c r="M77" t="n">
        <v>0</v>
      </c>
      <c r="N77" t="n">
        <v>0</v>
      </c>
      <c r="O77" t="n">
        <v>0</v>
      </c>
      <c r="P77" t="n">
        <v>0</v>
      </c>
      <c r="Q77" t="n">
        <v>0</v>
      </c>
      <c r="R77" t="n">
        <v>0</v>
      </c>
      <c r="S77" t="n">
        <v>1</v>
      </c>
      <c r="T77" t="n">
        <v>1</v>
      </c>
      <c r="U77" t="n">
        <v>0</v>
      </c>
      <c r="V77" s="2" t="inlineStr">
        <is>
          <t>Blodticka</t>
        </is>
      </c>
      <c r="W77">
        <f>HYPERLINK("https://klasma.github.io/Logging_1907/artfynd/A 17632-2022 artfynd.xlsx", "A 17632-2022")</f>
        <v/>
      </c>
      <c r="X77">
        <f>HYPERLINK("https://klasma.github.io/Logging_1907/kartor/A 17632-2022 karta.png", "A 17632-2022")</f>
        <v/>
      </c>
      <c r="Y77">
        <f>HYPERLINK("https://klasma.github.io/Logging_1907/kartor_geotiff/A 17632-2022 georefererad karta.tif", "A 17632-2022")</f>
        <v/>
      </c>
      <c r="AA77">
        <f>HYPERLINK("https://klasma.github.io/Logging_1907/klagomål/A 17632-2022 FSC-klagomål.docx", "A 17632-2022")</f>
        <v/>
      </c>
      <c r="AB77">
        <f>HYPERLINK("https://klasma.github.io/Logging_1907/klagomålsmail/A 17632-2022 FSC-klagomål mail.docx", "A 17632-2022")</f>
        <v/>
      </c>
      <c r="AC77">
        <f>HYPERLINK("https://klasma.github.io/Logging_1907/tillsyn/A 17632-2022 tillsynsbegäran.docx", "A 17632-2022")</f>
        <v/>
      </c>
      <c r="AD77">
        <f>HYPERLINK("https://klasma.github.io/Logging_1907/tillsynsmail/A 17632-2022 tillsynsbegäran mail.docx", "A 17632-2022")</f>
        <v/>
      </c>
    </row>
    <row r="78" ht="15" customHeight="1">
      <c r="A78" t="inlineStr">
        <is>
          <t>A 34955-2022</t>
        </is>
      </c>
      <c r="B78" t="inlineStr">
        <is>
          <t>avverkningsanmälan</t>
        </is>
      </c>
      <c r="C78" t="inlineStr">
        <is>
          <t>Föryngringsavverkning</t>
        </is>
      </c>
      <c r="D78" s="1" t="n">
        <v>44796</v>
      </c>
      <c r="E78" s="1" t="n">
        <v>46288</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46288</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44356-2024</t>
        </is>
      </c>
      <c r="B80" t="inlineStr">
        <is>
          <t>avverkningsanmälan</t>
        </is>
      </c>
      <c r="C80" t="inlineStr">
        <is>
          <t>Föryngringsavverkning</t>
        </is>
      </c>
      <c r="D80" s="1" t="n">
        <v>45573</v>
      </c>
      <c r="E80" s="1" t="n">
        <v>46288</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33231-2024</t>
        </is>
      </c>
      <c r="B81" t="inlineStr">
        <is>
          <t>avverkningsanmälan</t>
        </is>
      </c>
      <c r="C81" t="inlineStr">
        <is>
          <t>Föryngringsavverkning</t>
        </is>
      </c>
      <c r="D81" s="1" t="n">
        <v>45518</v>
      </c>
      <c r="E81" s="1" t="n">
        <v>46288</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24167-2024</t>
        </is>
      </c>
      <c r="B82" t="inlineStr">
        <is>
          <t>avverkningsanmälan</t>
        </is>
      </c>
      <c r="C82" t="inlineStr">
        <is>
          <t>Avverkning för annat ändamål</t>
        </is>
      </c>
      <c r="D82" s="1" t="n">
        <v>45456</v>
      </c>
      <c r="E82" s="1" t="n">
        <v>46288</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31589-2026</t>
        </is>
      </c>
      <c r="B83" t="inlineStr">
        <is>
          <t>avverkningsanmälan</t>
        </is>
      </c>
      <c r="C83" t="inlineStr">
        <is>
          <t>Föryngringsavverkning</t>
        </is>
      </c>
      <c r="D83" s="1" t="n">
        <v>46224</v>
      </c>
      <c r="E83" s="1" t="n">
        <v>46288</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16013-2023</t>
        </is>
      </c>
      <c r="B84" t="inlineStr">
        <is>
          <t>avverkningsanmälan</t>
        </is>
      </c>
      <c r="C84" t="inlineStr">
        <is>
          <t>Föryngringsavverkning</t>
        </is>
      </c>
      <c r="D84" s="1" t="n">
        <v>45026</v>
      </c>
      <c r="E84" s="1" t="n">
        <v>46288</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34584-2025</t>
        </is>
      </c>
      <c r="B85" t="inlineStr">
        <is>
          <t>avverkningsanmälan</t>
        </is>
      </c>
      <c r="C85" t="inlineStr">
        <is>
          <t>Föryngringsavverkning</t>
        </is>
      </c>
      <c r="D85" s="1" t="n">
        <v>45846</v>
      </c>
      <c r="E85" s="1" t="n">
        <v>46288</v>
      </c>
      <c r="F85" t="inlineStr">
        <is>
          <t>VÄSTMANLANDS LÄN</t>
        </is>
      </c>
      <c r="G85" t="inlineStr">
        <is>
          <t>SURAHAMMAR</t>
        </is>
      </c>
      <c r="H85" t="inlineStr">
        <is>
          <t>Bergvik skog väst AB</t>
        </is>
      </c>
      <c r="I85" t="n">
        <v>2.7</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HYPERLINK("https://klasma.github.io/Logging_1907/artfynd/A 34584-2025 artfynd.xlsx", "A 34584-2025")</f>
        <v/>
      </c>
      <c r="X85">
        <f>HYPERLINK("https://klasma.github.io/Logging_1907/kartor/A 34584-2025 karta.png", "A 34584-2025")</f>
        <v/>
      </c>
      <c r="Y85">
        <f>HYPERLINK("https://klasma.github.io/Logging_1907/kartor_geotiff/A 34584-2025 georefererad karta.tif", "A 34584-2025")</f>
        <v/>
      </c>
      <c r="AA85">
        <f>HYPERLINK("https://klasma.github.io/Logging_1907/klagomål/A 34584-2025 FSC-klagomål.docx", "A 34584-2025")</f>
        <v/>
      </c>
      <c r="AB85">
        <f>HYPERLINK("https://klasma.github.io/Logging_1907/klagomålsmail/A 34584-2025 FSC-klagomål mail.docx", "A 34584-2025")</f>
        <v/>
      </c>
      <c r="AC85">
        <f>HYPERLINK("https://klasma.github.io/Logging_1907/tillsyn/A 34584-2025 tillsynsbegäran.docx", "A 34584-2025")</f>
        <v/>
      </c>
      <c r="AD85">
        <f>HYPERLINK("https://klasma.github.io/Logging_1907/tillsynsmail/A 34584-2025 tillsynsbegäran mail.docx", "A 34584-2025")</f>
        <v/>
      </c>
      <c r="AE85">
        <f>HYPERLINK("https://klasma.github.io/Logging_1907/fåglar/A 34584-2025 prioriterade fågelarter.docx", "A 34584-2025")</f>
        <v/>
      </c>
    </row>
    <row r="86" ht="15" customHeight="1">
      <c r="A86" t="inlineStr">
        <is>
          <t>A 64073-2021</t>
        </is>
      </c>
      <c r="B86" t="inlineStr">
        <is>
          <t>avverkningsanmälan</t>
        </is>
      </c>
      <c r="C86" t="inlineStr">
        <is>
          <t>Avverkning för annat ändamål</t>
        </is>
      </c>
      <c r="D86" s="1" t="n">
        <v>44509</v>
      </c>
      <c r="E86" s="1" t="n">
        <v>46288</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46288</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46288</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46288</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46288</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46288</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46288</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46288</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46288</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46288</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46288</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46288</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46288</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46288</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46288</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46288</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46288</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37954-2025</t>
        </is>
      </c>
      <c r="B103" t="inlineStr">
        <is>
          <t>avverkningsanmälan</t>
        </is>
      </c>
      <c r="C103" t="inlineStr">
        <is>
          <t>Föryngringsavverkning</t>
        </is>
      </c>
      <c r="D103" s="1" t="n">
        <v>45881</v>
      </c>
      <c r="E103" s="1" t="n">
        <v>46288</v>
      </c>
      <c r="F103" t="inlineStr">
        <is>
          <t>VÄSTMANLANDS LÄN</t>
        </is>
      </c>
      <c r="G103" t="inlineStr">
        <is>
          <t>SURAHAMMAR</t>
        </is>
      </c>
      <c r="I103" t="n">
        <v>9.5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32808-2024</t>
        </is>
      </c>
      <c r="B104" t="inlineStr">
        <is>
          <t>avverkningsanmälan</t>
        </is>
      </c>
      <c r="C104" t="inlineStr">
        <is>
          <t>Föryngringsavverkning</t>
        </is>
      </c>
      <c r="D104" s="1" t="n">
        <v>45516</v>
      </c>
      <c r="E104" s="1" t="n">
        <v>46288</v>
      </c>
      <c r="F104" t="inlineStr">
        <is>
          <t>VÄSTMANLANDS LÄN</t>
        </is>
      </c>
      <c r="G104" t="inlineStr">
        <is>
          <t>SURAHAMMAR</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42714-2022</t>
        </is>
      </c>
      <c r="B105" t="inlineStr">
        <is>
          <t>avverkningsanmälan</t>
        </is>
      </c>
      <c r="C105" t="inlineStr">
        <is>
          <t>Föryngringsavverkning</t>
        </is>
      </c>
      <c r="D105" s="1" t="n">
        <v>44832</v>
      </c>
      <c r="E105" s="1" t="n">
        <v>46288</v>
      </c>
      <c r="F105" t="inlineStr">
        <is>
          <t>VÄSTMANLANDS LÄN</t>
        </is>
      </c>
      <c r="G105" t="inlineStr">
        <is>
          <t>SURAHAMMAR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35682-2022</t>
        </is>
      </c>
      <c r="B106" t="inlineStr">
        <is>
          <t>avverkningsanmälan</t>
        </is>
      </c>
      <c r="C106" t="inlineStr">
        <is>
          <t>Föryngringsavverkning</t>
        </is>
      </c>
      <c r="D106" s="1" t="n">
        <v>44799</v>
      </c>
      <c r="E106" s="1" t="n">
        <v>46288</v>
      </c>
      <c r="F106" t="inlineStr">
        <is>
          <t>VÄSTMANLANDS LÄN</t>
        </is>
      </c>
      <c r="G106" t="inlineStr">
        <is>
          <t>SURAHAMMAR</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11728-2023</t>
        </is>
      </c>
      <c r="B107" t="inlineStr">
        <is>
          <t>avverkningsanmälan</t>
        </is>
      </c>
      <c r="C107" t="inlineStr">
        <is>
          <t>Avverkning för att bevara och utveckla /försöksver</t>
        </is>
      </c>
      <c r="D107" s="1" t="n">
        <v>44993</v>
      </c>
      <c r="E107" s="1" t="n">
        <v>46288</v>
      </c>
      <c r="F107" t="inlineStr">
        <is>
          <t>VÄSTMANLANDS LÄN</t>
        </is>
      </c>
      <c r="G107" t="inlineStr">
        <is>
          <t>SURAHAMMAR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5567-2022</t>
        </is>
      </c>
      <c r="B108" t="inlineStr">
        <is>
          <t>avverkningsanmälan</t>
        </is>
      </c>
      <c r="C108" t="inlineStr">
        <is>
          <t>Föryngringsavverkning</t>
        </is>
      </c>
      <c r="D108" s="1" t="n">
        <v>44595</v>
      </c>
      <c r="E108" s="1" t="n">
        <v>46288</v>
      </c>
      <c r="F108" t="inlineStr">
        <is>
          <t>VÄSTMANLANDS LÄN</t>
        </is>
      </c>
      <c r="G108" t="inlineStr">
        <is>
          <t>SURAHAMMAR</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42832-2022</t>
        </is>
      </c>
      <c r="B109" t="inlineStr">
        <is>
          <t>avverkningsanmälan</t>
        </is>
      </c>
      <c r="C109" t="inlineStr">
        <is>
          <t>Avverkning för annat ändamål</t>
        </is>
      </c>
      <c r="D109" s="1" t="n">
        <v>44832</v>
      </c>
      <c r="E109" s="1" t="n">
        <v>46288</v>
      </c>
      <c r="F109" t="inlineStr">
        <is>
          <t>VÄSTMANLANDS LÄN</t>
        </is>
      </c>
      <c r="G109" t="inlineStr">
        <is>
          <t>SURAHAMMAR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49058-2024</t>
        </is>
      </c>
      <c r="B110" t="inlineStr">
        <is>
          <t>avverkningsanmälan</t>
        </is>
      </c>
      <c r="C110" t="inlineStr">
        <is>
          <t>Föryngringsavverkning</t>
        </is>
      </c>
      <c r="D110" s="1" t="n">
        <v>45594</v>
      </c>
      <c r="E110" s="1" t="n">
        <v>46288</v>
      </c>
      <c r="F110" t="inlineStr">
        <is>
          <t>VÄSTMANLANDS LÄN</t>
        </is>
      </c>
      <c r="G110" t="inlineStr">
        <is>
          <t>SURAHAMMAR</t>
        </is>
      </c>
      <c r="H110" t="inlineStr">
        <is>
          <t>Sveaskog</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24665-2023</t>
        </is>
      </c>
      <c r="B111" t="inlineStr">
        <is>
          <t>avverkningsanmälan</t>
        </is>
      </c>
      <c r="C111" t="inlineStr">
        <is>
          <t>Föryngringsavverkning</t>
        </is>
      </c>
      <c r="D111" s="1" t="n">
        <v>45084</v>
      </c>
      <c r="E111" s="1" t="n">
        <v>46288</v>
      </c>
      <c r="F111" t="inlineStr">
        <is>
          <t>VÄSTMANLANDS LÄN</t>
        </is>
      </c>
      <c r="G111" t="inlineStr">
        <is>
          <t>SURAHAMMAR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20535-2026</t>
        </is>
      </c>
      <c r="B112" t="inlineStr">
        <is>
          <t>avverkningsanmälan</t>
        </is>
      </c>
      <c r="C112" t="inlineStr">
        <is>
          <t>Avverkning för annat ändamål</t>
        </is>
      </c>
      <c r="D112" s="1" t="n">
        <v>46140</v>
      </c>
      <c r="E112" s="1" t="n">
        <v>46288</v>
      </c>
      <c r="F112" t="inlineStr">
        <is>
          <t>VÄSTMANLANDS LÄN</t>
        </is>
      </c>
      <c r="G112" t="inlineStr">
        <is>
          <t>SURAHAMMAR</t>
        </is>
      </c>
      <c r="H112" t="inlineStr">
        <is>
          <t>Bergvik skog väst AB</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42841-2022</t>
        </is>
      </c>
      <c r="B113" t="inlineStr">
        <is>
          <t>avverkningsanmälan</t>
        </is>
      </c>
      <c r="C113" t="inlineStr">
        <is>
          <t>Avverkning för annat ändamål</t>
        </is>
      </c>
      <c r="D113" s="1" t="n">
        <v>44832</v>
      </c>
      <c r="E113" s="1" t="n">
        <v>46288</v>
      </c>
      <c r="F113" t="inlineStr">
        <is>
          <t>VÄSTMANLANDS LÄN</t>
        </is>
      </c>
      <c r="G113" t="inlineStr">
        <is>
          <t>SURAHAMMAR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46288</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2867-2024</t>
        </is>
      </c>
      <c r="B115" t="inlineStr">
        <is>
          <t>avverkningsanmälan</t>
        </is>
      </c>
      <c r="C115" t="inlineStr">
        <is>
          <t>Föryngringsavverkning</t>
        </is>
      </c>
      <c r="D115" s="1" t="n">
        <v>45315</v>
      </c>
      <c r="E115" s="1" t="n">
        <v>46288</v>
      </c>
      <c r="F115" t="inlineStr">
        <is>
          <t>VÄSTMANLANDS LÄN</t>
        </is>
      </c>
      <c r="G115" t="inlineStr">
        <is>
          <t>SURAHAMMAR</t>
        </is>
      </c>
      <c r="H115" t="inlineStr">
        <is>
          <t>Bergvik skog väst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3085-2023</t>
        </is>
      </c>
      <c r="B116" t="inlineStr">
        <is>
          <t>avverkningsanmälan</t>
        </is>
      </c>
      <c r="C116" t="inlineStr">
        <is>
          <t>Föryngringsavverkning</t>
        </is>
      </c>
      <c r="D116" s="1" t="n">
        <v>44946</v>
      </c>
      <c r="E116" s="1" t="n">
        <v>46288</v>
      </c>
      <c r="F116" t="inlineStr">
        <is>
          <t>VÄSTMANLANDS LÄN</t>
        </is>
      </c>
      <c r="G116" t="inlineStr">
        <is>
          <t>SURAHAMMAR</t>
        </is>
      </c>
      <c r="H116" t="inlineStr">
        <is>
          <t>Kyrkan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55873-2025</t>
        </is>
      </c>
      <c r="B117" t="inlineStr">
        <is>
          <t>avverkningsanmälan</t>
        </is>
      </c>
      <c r="C117" t="inlineStr">
        <is>
          <t>Föryngringsavverkning</t>
        </is>
      </c>
      <c r="D117" s="1" t="n">
        <v>45973</v>
      </c>
      <c r="E117" s="1" t="n">
        <v>46288</v>
      </c>
      <c r="F117" t="inlineStr">
        <is>
          <t>VÄSTMANLANDS LÄN</t>
        </is>
      </c>
      <c r="G117" t="inlineStr">
        <is>
          <t>SURAHAMMAR</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24201-2026</t>
        </is>
      </c>
      <c r="B118" t="inlineStr">
        <is>
          <t>avverkningsanmälan</t>
        </is>
      </c>
      <c r="C118" t="inlineStr">
        <is>
          <t>Föryngringsavverkning</t>
        </is>
      </c>
      <c r="D118" s="1" t="n">
        <v>46168</v>
      </c>
      <c r="E118" s="1" t="n">
        <v>46288</v>
      </c>
      <c r="F118" t="inlineStr">
        <is>
          <t>VÄSTMANLANDS LÄN</t>
        </is>
      </c>
      <c r="G118" t="inlineStr">
        <is>
          <t>SURAHAMMAR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20904-2023</t>
        </is>
      </c>
      <c r="B119" t="inlineStr">
        <is>
          <t>avverkningsanmälan</t>
        </is>
      </c>
      <c r="C119" t="inlineStr">
        <is>
          <t>Avverkning för att bevara och utveckla /försöksver</t>
        </is>
      </c>
      <c r="D119" s="1" t="n">
        <v>45060</v>
      </c>
      <c r="E119" s="1" t="n">
        <v>46288</v>
      </c>
      <c r="F119" t="inlineStr">
        <is>
          <t>VÄSTMANLANDS LÄN</t>
        </is>
      </c>
      <c r="G119" t="inlineStr">
        <is>
          <t>SURAHAMMAR</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2660-2024</t>
        </is>
      </c>
      <c r="B120" t="inlineStr">
        <is>
          <t>avverkningsanmälan</t>
        </is>
      </c>
      <c r="C120" t="inlineStr">
        <is>
          <t>Föryngringsavverkning</t>
        </is>
      </c>
      <c r="D120" s="1" t="n">
        <v>45310</v>
      </c>
      <c r="E120" s="1" t="n">
        <v>46288</v>
      </c>
      <c r="F120" t="inlineStr">
        <is>
          <t>VÄSTMANLANDS LÄN</t>
        </is>
      </c>
      <c r="G120" t="inlineStr">
        <is>
          <t>SURAHAMMAR</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4724-2026</t>
        </is>
      </c>
      <c r="B121" t="inlineStr">
        <is>
          <t>avverkningsanmälan</t>
        </is>
      </c>
      <c r="C121" t="inlineStr">
        <is>
          <t>Föryngringsavverkning</t>
        </is>
      </c>
      <c r="D121" s="1" t="n">
        <v>46048</v>
      </c>
      <c r="E121" s="1" t="n">
        <v>46288</v>
      </c>
      <c r="F121" t="inlineStr">
        <is>
          <t>VÄSTMANLANDS LÄN</t>
        </is>
      </c>
      <c r="G121" t="inlineStr">
        <is>
          <t>SURAHAMMAR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4734-2026</t>
        </is>
      </c>
      <c r="B122" t="inlineStr">
        <is>
          <t>avverkningsanmälan</t>
        </is>
      </c>
      <c r="C122" t="inlineStr">
        <is>
          <t>Föryngringsavverkning</t>
        </is>
      </c>
      <c r="D122" s="1" t="n">
        <v>46048</v>
      </c>
      <c r="E122" s="1" t="n">
        <v>46288</v>
      </c>
      <c r="F122" t="inlineStr">
        <is>
          <t>VÄSTMANLANDS LÄN</t>
        </is>
      </c>
      <c r="G122" t="inlineStr">
        <is>
          <t>SURAHAMMAR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22628-2026</t>
        </is>
      </c>
      <c r="B123" t="inlineStr">
        <is>
          <t>avverkningsanmälan</t>
        </is>
      </c>
      <c r="C123" t="inlineStr">
        <is>
          <t>Föryngringsavverkning</t>
        </is>
      </c>
      <c r="D123" s="1" t="n">
        <v>46155</v>
      </c>
      <c r="E123" s="1" t="n">
        <v>46288</v>
      </c>
      <c r="F123" t="inlineStr">
        <is>
          <t>VÄSTMANLANDS LÄN</t>
        </is>
      </c>
      <c r="G123" t="inlineStr">
        <is>
          <t>SURAHAMMAR</t>
        </is>
      </c>
      <c r="H123" t="inlineStr">
        <is>
          <t>Sveaskog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14626-2023</t>
        </is>
      </c>
      <c r="B124" t="inlineStr">
        <is>
          <t>avverkningsanmälan</t>
        </is>
      </c>
      <c r="C124" t="inlineStr">
        <is>
          <t>Föryngringsavverkning</t>
        </is>
      </c>
      <c r="D124" s="1" t="n">
        <v>45012</v>
      </c>
      <c r="E124" s="1" t="n">
        <v>46288</v>
      </c>
      <c r="F124" t="inlineStr">
        <is>
          <t>VÄSTMANLANDS LÄN</t>
        </is>
      </c>
      <c r="G124" t="inlineStr">
        <is>
          <t>SURAHAMMAR</t>
        </is>
      </c>
      <c r="H124" t="inlineStr">
        <is>
          <t>Bergvik skog väst AB</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10249-2026</t>
        </is>
      </c>
      <c r="B125" t="inlineStr">
        <is>
          <t>avverkningsanmälan</t>
        </is>
      </c>
      <c r="C125" t="inlineStr">
        <is>
          <t>Föryngringsavverkning</t>
        </is>
      </c>
      <c r="D125" s="1" t="n">
        <v>46076</v>
      </c>
      <c r="E125" s="1" t="n">
        <v>46288</v>
      </c>
      <c r="F125" t="inlineStr">
        <is>
          <t>VÄSTMANLANDS LÄN</t>
        </is>
      </c>
      <c r="G125" t="inlineStr">
        <is>
          <t>SURAHAMMAR</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10244-2026</t>
        </is>
      </c>
      <c r="B126" t="inlineStr">
        <is>
          <t>avverkningsanmälan</t>
        </is>
      </c>
      <c r="C126" t="inlineStr">
        <is>
          <t>Föryngringsavverkning</t>
        </is>
      </c>
      <c r="D126" s="1" t="n">
        <v>46076</v>
      </c>
      <c r="E126" s="1" t="n">
        <v>46288</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10562-2026</t>
        </is>
      </c>
      <c r="B127" t="inlineStr">
        <is>
          <t>avverkningsanmälan</t>
        </is>
      </c>
      <c r="C127" t="inlineStr">
        <is>
          <t>Föryngringsavverkning</t>
        </is>
      </c>
      <c r="D127" s="1" t="n">
        <v>46077</v>
      </c>
      <c r="E127" s="1" t="n">
        <v>46288</v>
      </c>
      <c r="F127" t="inlineStr">
        <is>
          <t>VÄSTMANLANDS LÄN</t>
        </is>
      </c>
      <c r="G127" t="inlineStr">
        <is>
          <t>SURAHAMMAR</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12841-2026</t>
        </is>
      </c>
      <c r="B128" t="inlineStr">
        <is>
          <t>avverkningsanmälan</t>
        </is>
      </c>
      <c r="C128" t="inlineStr">
        <is>
          <t>Föryngringsavverkning</t>
        </is>
      </c>
      <c r="D128" s="1" t="n">
        <v>46091</v>
      </c>
      <c r="E128" s="1" t="n">
        <v>46288</v>
      </c>
      <c r="F128" t="inlineStr">
        <is>
          <t>VÄSTMANLANDS LÄN</t>
        </is>
      </c>
      <c r="G128" t="inlineStr">
        <is>
          <t>SURAHAMMAR</t>
        </is>
      </c>
      <c r="H128" t="inlineStr">
        <is>
          <t>Bergvik skog väst AB</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46288</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19782-2023</t>
        </is>
      </c>
      <c r="B130" t="inlineStr">
        <is>
          <t>avverkningsanmälan</t>
        </is>
      </c>
      <c r="C130" t="inlineStr">
        <is>
          <t>Föryngringsavverkning</t>
        </is>
      </c>
      <c r="D130" s="1" t="n">
        <v>45050</v>
      </c>
      <c r="E130" s="1" t="n">
        <v>46288</v>
      </c>
      <c r="F130" t="inlineStr">
        <is>
          <t>VÄSTMANLANDS LÄN</t>
        </is>
      </c>
      <c r="G130" t="inlineStr">
        <is>
          <t>SURAHAMMAR</t>
        </is>
      </c>
      <c r="H130" t="inlineStr">
        <is>
          <t>Bergvik skog väst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19246-2026</t>
        </is>
      </c>
      <c r="B131" t="inlineStr">
        <is>
          <t>avverkningsanmälan</t>
        </is>
      </c>
      <c r="C131" t="inlineStr">
        <is>
          <t>Avverkning för annat ändamål</t>
        </is>
      </c>
      <c r="D131" s="1" t="n">
        <v>46132</v>
      </c>
      <c r="E131" s="1" t="n">
        <v>46288</v>
      </c>
      <c r="F131" t="inlineStr">
        <is>
          <t>VÄSTMANLANDS LÄN</t>
        </is>
      </c>
      <c r="G131" t="inlineStr">
        <is>
          <t>SURAHAMMAR</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46288</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56378-2023</t>
        </is>
      </c>
      <c r="B133" t="inlineStr">
        <is>
          <t>avverkningsanmälan</t>
        </is>
      </c>
      <c r="C133" t="inlineStr">
        <is>
          <t>Föryngringsavverkning</t>
        </is>
      </c>
      <c r="D133" s="1" t="n">
        <v>45236</v>
      </c>
      <c r="E133" s="1" t="n">
        <v>46288</v>
      </c>
      <c r="F133" t="inlineStr">
        <is>
          <t>VÄSTMANLANDS LÄN</t>
        </is>
      </c>
      <c r="G133" t="inlineStr">
        <is>
          <t>SURAHAMMAR</t>
        </is>
      </c>
      <c r="H133" t="inlineStr">
        <is>
          <t>Bergvik skog väst AB</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19099-2022</t>
        </is>
      </c>
      <c r="B134" t="inlineStr">
        <is>
          <t>avverkningsanmälan</t>
        </is>
      </c>
      <c r="C134" t="inlineStr">
        <is>
          <t>Föryngringsavverkning</t>
        </is>
      </c>
      <c r="D134" s="1" t="n">
        <v>44691</v>
      </c>
      <c r="E134" s="1" t="n">
        <v>46288</v>
      </c>
      <c r="F134" t="inlineStr">
        <is>
          <t>VÄSTMANLANDS LÄN</t>
        </is>
      </c>
      <c r="G134" t="inlineStr">
        <is>
          <t>SURAHAMMAR</t>
        </is>
      </c>
      <c r="H134" t="inlineStr">
        <is>
          <t>Övriga Aktiebolag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46288</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31061-2026</t>
        </is>
      </c>
      <c r="B136" t="inlineStr">
        <is>
          <t>avverkningsanmälan</t>
        </is>
      </c>
      <c r="C136" t="inlineStr">
        <is>
          <t>Föryngringsavverkning</t>
        </is>
      </c>
      <c r="D136" s="1" t="n">
        <v>46215</v>
      </c>
      <c r="E136" s="1" t="n">
        <v>46288</v>
      </c>
      <c r="F136" t="inlineStr">
        <is>
          <t>VÄSTMANLANDS LÄN</t>
        </is>
      </c>
      <c r="G136" t="inlineStr">
        <is>
          <t>SURAHAMMAR</t>
        </is>
      </c>
      <c r="H136" t="inlineStr">
        <is>
          <t>Sveaskog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3818-2022</t>
        </is>
      </c>
      <c r="B137" t="inlineStr">
        <is>
          <t>avverkningsanmälan</t>
        </is>
      </c>
      <c r="C137" t="inlineStr">
        <is>
          <t>Föryngringsavverkning</t>
        </is>
      </c>
      <c r="D137" s="1" t="n">
        <v>44587</v>
      </c>
      <c r="E137" s="1" t="n">
        <v>46288</v>
      </c>
      <c r="F137" t="inlineStr">
        <is>
          <t>VÄSTMANLANDS LÄN</t>
        </is>
      </c>
      <c r="G137" t="inlineStr">
        <is>
          <t>SURAHAMMAR</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46288</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32501-2026</t>
        </is>
      </c>
      <c r="B139" t="inlineStr">
        <is>
          <t>avverkningsanmälan</t>
        </is>
      </c>
      <c r="C139" t="inlineStr">
        <is>
          <t>Avverkning för annat ändamål</t>
        </is>
      </c>
      <c r="D139" s="1" t="n">
        <v>46239</v>
      </c>
      <c r="E139" s="1" t="n">
        <v>46288</v>
      </c>
      <c r="F139" t="inlineStr">
        <is>
          <t>VÄSTMANLANDS LÄN</t>
        </is>
      </c>
      <c r="G139" t="inlineStr">
        <is>
          <t>SURAHAMMAR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32223-2026</t>
        </is>
      </c>
      <c r="B140" t="inlineStr">
        <is>
          <t>avverkningsanmälan</t>
        </is>
      </c>
      <c r="C140" t="inlineStr">
        <is>
          <t>Föryngringsavverkning</t>
        </is>
      </c>
      <c r="D140" s="1" t="n">
        <v>46237</v>
      </c>
      <c r="E140" s="1" t="n">
        <v>46288</v>
      </c>
      <c r="F140" t="inlineStr">
        <is>
          <t>VÄSTMANLANDS LÄN</t>
        </is>
      </c>
      <c r="G140" t="inlineStr">
        <is>
          <t>SURAHAMMAR</t>
        </is>
      </c>
      <c r="H140" t="inlineStr">
        <is>
          <t>Allmännings- och besparingsskogar</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22662-2023</t>
        </is>
      </c>
      <c r="B141" t="inlineStr">
        <is>
          <t>avverkningsanmälan</t>
        </is>
      </c>
      <c r="C141" t="inlineStr">
        <is>
          <t>Avverkning för att bevara och utveckla /försöksver</t>
        </is>
      </c>
      <c r="D141" s="1" t="n">
        <v>45071</v>
      </c>
      <c r="E141" s="1" t="n">
        <v>46288</v>
      </c>
      <c r="F141" t="inlineStr">
        <is>
          <t>VÄSTMANLANDS LÄN</t>
        </is>
      </c>
      <c r="G141" t="inlineStr">
        <is>
          <t>SURAHAMMAR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46288</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46288</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46288</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46288</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46288</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2026-09-23T01:56:47Z</dcterms:created>
  <dcterms:modified xmlns:dcterms="http://purl.org/dc/terms/" xmlns:xsi="http://www.w3.org/2001/XMLSchema-instance" xsi:type="dcterms:W3CDTF">2026-09-23T01:56:48Z</dcterms:modified>
</cp:coreProperties>
</file>