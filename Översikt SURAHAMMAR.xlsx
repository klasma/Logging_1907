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45996</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45996</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45996</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45996</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45996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45996</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45996</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45996</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34040-2024</t>
        </is>
      </c>
      <c r="B13" s="1" t="n">
        <v>45523</v>
      </c>
      <c r="C13" s="1" t="n">
        <v>45996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45996</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45996</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45996</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45996</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45996</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45996</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45996</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45996</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45996</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45996</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4105-2025</t>
        </is>
      </c>
      <c r="B24" s="1" t="n">
        <v>45684</v>
      </c>
      <c r="C24" s="1" t="n">
        <v>45996</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48891-2023</t>
        </is>
      </c>
      <c r="B25" s="1" t="n">
        <v>45203</v>
      </c>
      <c r="C25" s="1" t="n">
        <v>45996</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21716-2025</t>
        </is>
      </c>
      <c r="B26" s="1" t="n">
        <v>45783.54804398148</v>
      </c>
      <c r="C26" s="1" t="n">
        <v>45996</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45996</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38172-2024</t>
        </is>
      </c>
      <c r="B28" s="1" t="n">
        <v>45545</v>
      </c>
      <c r="C28" s="1" t="n">
        <v>45996</v>
      </c>
      <c r="D28" t="inlineStr">
        <is>
          <t>VÄSTMANLANDS LÄN</t>
        </is>
      </c>
      <c r="E28" t="inlineStr">
        <is>
          <t>SURAHAMMAR</t>
        </is>
      </c>
      <c r="F28" t="inlineStr">
        <is>
          <t>Sveaskog</t>
        </is>
      </c>
      <c r="G28" t="n">
        <v>5.2</v>
      </c>
      <c r="H28" t="n">
        <v>2</v>
      </c>
      <c r="I28" t="n">
        <v>0</v>
      </c>
      <c r="J28" t="n">
        <v>2</v>
      </c>
      <c r="K28" t="n">
        <v>1</v>
      </c>
      <c r="L28" t="n">
        <v>0</v>
      </c>
      <c r="M28" t="n">
        <v>0</v>
      </c>
      <c r="N28" t="n">
        <v>0</v>
      </c>
      <c r="O28" t="n">
        <v>3</v>
      </c>
      <c r="P28" t="n">
        <v>1</v>
      </c>
      <c r="Q28" t="n">
        <v>4</v>
      </c>
      <c r="R28" s="2" t="inlineStr">
        <is>
          <t>Knärot
Gropticka
Vedtrappmossa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48128-2023</t>
        </is>
      </c>
      <c r="B29" s="1" t="n">
        <v>45205</v>
      </c>
      <c r="C29" s="1" t="n">
        <v>45996</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42853-2022</t>
        </is>
      </c>
      <c r="B30" s="1" t="n">
        <v>44832</v>
      </c>
      <c r="C30" s="1" t="n">
        <v>45996</v>
      </c>
      <c r="D30" t="inlineStr">
        <is>
          <t>VÄSTMANLANDS LÄN</t>
        </is>
      </c>
      <c r="E30" t="inlineStr">
        <is>
          <t>SURAHAMMAR</t>
        </is>
      </c>
      <c r="G30" t="n">
        <v>7.4</v>
      </c>
      <c r="H30" t="n">
        <v>1</v>
      </c>
      <c r="I30" t="n">
        <v>1</v>
      </c>
      <c r="J30" t="n">
        <v>1</v>
      </c>
      <c r="K30" t="n">
        <v>0</v>
      </c>
      <c r="L30" t="n">
        <v>1</v>
      </c>
      <c r="M30" t="n">
        <v>0</v>
      </c>
      <c r="N30" t="n">
        <v>0</v>
      </c>
      <c r="O30" t="n">
        <v>2</v>
      </c>
      <c r="P30" t="n">
        <v>1</v>
      </c>
      <c r="Q30" t="n">
        <v>3</v>
      </c>
      <c r="R30" s="2" t="inlineStr">
        <is>
          <t>Ask
Kandelabersvamp
Tvåblad</t>
        </is>
      </c>
      <c r="S30">
        <f>HYPERLINK("https://klasma.github.io/Logging_1907/artfynd/A 42853-2022 artfynd.xlsx", "A 42853-2022")</f>
        <v/>
      </c>
      <c r="T30">
        <f>HYPERLINK("https://klasma.github.io/Logging_1907/kartor/A 42853-2022 karta.png", "A 42853-2022")</f>
        <v/>
      </c>
      <c r="V30">
        <f>HYPERLINK("https://klasma.github.io/Logging_1907/klagomål/A 42853-2022 FSC-klagomål.docx", "A 42853-2022")</f>
        <v/>
      </c>
      <c r="W30">
        <f>HYPERLINK("https://klasma.github.io/Logging_1907/klagomålsmail/A 42853-2022 FSC-klagomål mail.docx", "A 42853-2022")</f>
        <v/>
      </c>
      <c r="X30">
        <f>HYPERLINK("https://klasma.github.io/Logging_1907/tillsyn/A 42853-2022 tillsynsbegäran.docx", "A 42853-2022")</f>
        <v/>
      </c>
      <c r="Y30">
        <f>HYPERLINK("https://klasma.github.io/Logging_1907/tillsynsmail/A 42853-2022 tillsynsbegäran mail.docx", "A 42853-2022")</f>
        <v/>
      </c>
    </row>
    <row r="31" ht="15" customHeight="1">
      <c r="A31" t="inlineStr">
        <is>
          <t>A 42860-2022</t>
        </is>
      </c>
      <c r="B31" s="1" t="n">
        <v>44832</v>
      </c>
      <c r="C31" s="1" t="n">
        <v>45996</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42708-2022</t>
        </is>
      </c>
      <c r="B32" s="1" t="n">
        <v>44832</v>
      </c>
      <c r="C32" s="1" t="n">
        <v>45996</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38200-2021</t>
        </is>
      </c>
      <c r="B33" s="1" t="n">
        <v>44405</v>
      </c>
      <c r="C33" s="1" t="n">
        <v>45996</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29707-2025</t>
        </is>
      </c>
      <c r="B34" s="1" t="n">
        <v>45825.56100694444</v>
      </c>
      <c r="C34" s="1" t="n">
        <v>45996</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39694-2025</t>
        </is>
      </c>
      <c r="B35" s="1" t="n">
        <v>45890</v>
      </c>
      <c r="C35" s="1" t="n">
        <v>45996</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49718-2023</t>
        </is>
      </c>
      <c r="B36" s="1" t="n">
        <v>45212</v>
      </c>
      <c r="C36" s="1" t="n">
        <v>45996</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20391-2024</t>
        </is>
      </c>
      <c r="B37" s="1" t="n">
        <v>45435</v>
      </c>
      <c r="C37" s="1" t="n">
        <v>45996</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8552-2022</t>
        </is>
      </c>
      <c r="B38" s="1" t="n">
        <v>44613</v>
      </c>
      <c r="C38" s="1" t="n">
        <v>45996</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37801-2021</t>
        </is>
      </c>
      <c r="B39" s="1" t="n">
        <v>44402</v>
      </c>
      <c r="C39" s="1" t="n">
        <v>45996</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45996</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4082-2025</t>
        </is>
      </c>
      <c r="B41" s="1" t="n">
        <v>45684</v>
      </c>
      <c r="C41" s="1" t="n">
        <v>45996</v>
      </c>
      <c r="D41" t="inlineStr">
        <is>
          <t>VÄSTMANLANDS LÄN</t>
        </is>
      </c>
      <c r="E41" t="inlineStr">
        <is>
          <t>SURAHAMMAR</t>
        </is>
      </c>
      <c r="F41" t="inlineStr">
        <is>
          <t>Bergvik skog väst AB</t>
        </is>
      </c>
      <c r="G41" t="n">
        <v>11.6</v>
      </c>
      <c r="H41" t="n">
        <v>1</v>
      </c>
      <c r="I41" t="n">
        <v>2</v>
      </c>
      <c r="J41" t="n">
        <v>0</v>
      </c>
      <c r="K41" t="n">
        <v>0</v>
      </c>
      <c r="L41" t="n">
        <v>0</v>
      </c>
      <c r="M41" t="n">
        <v>0</v>
      </c>
      <c r="N41" t="n">
        <v>0</v>
      </c>
      <c r="O41" t="n">
        <v>0</v>
      </c>
      <c r="P41" t="n">
        <v>0</v>
      </c>
      <c r="Q41" t="n">
        <v>2</v>
      </c>
      <c r="R41" s="2" t="inlineStr">
        <is>
          <t>Grönpyrola
Plattlummer</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41204-2023</t>
        </is>
      </c>
      <c r="B42" s="1" t="n">
        <v>45174</v>
      </c>
      <c r="C42" s="1" t="n">
        <v>45996</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40403-2025</t>
        </is>
      </c>
      <c r="B43" s="1" t="n">
        <v>45895</v>
      </c>
      <c r="C43" s="1" t="n">
        <v>45996</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62097-2024</t>
        </is>
      </c>
      <c r="B44" s="1" t="n">
        <v>45646</v>
      </c>
      <c r="C44" s="1" t="n">
        <v>45996</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21618-2025</t>
        </is>
      </c>
      <c r="B45" s="1" t="n">
        <v>45783</v>
      </c>
      <c r="C45" s="1" t="n">
        <v>45996</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45996</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45996</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45996</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30074-2023</t>
        </is>
      </c>
      <c r="B49" s="1" t="n">
        <v>45110</v>
      </c>
      <c r="C49" s="1" t="n">
        <v>45996</v>
      </c>
      <c r="D49" t="inlineStr">
        <is>
          <t>VÄSTMANLANDS LÄN</t>
        </is>
      </c>
      <c r="E49" t="inlineStr">
        <is>
          <t>SURAHAMMAR</t>
        </is>
      </c>
      <c r="F49" t="inlineStr">
        <is>
          <t>Sveaskog</t>
        </is>
      </c>
      <c r="G49" t="n">
        <v>1.1</v>
      </c>
      <c r="H49" t="n">
        <v>1</v>
      </c>
      <c r="I49" t="n">
        <v>0</v>
      </c>
      <c r="J49" t="n">
        <v>0</v>
      </c>
      <c r="K49" t="n">
        <v>0</v>
      </c>
      <c r="L49" t="n">
        <v>0</v>
      </c>
      <c r="M49" t="n">
        <v>0</v>
      </c>
      <c r="N49" t="n">
        <v>0</v>
      </c>
      <c r="O49" t="n">
        <v>0</v>
      </c>
      <c r="P49" t="n">
        <v>0</v>
      </c>
      <c r="Q49" t="n">
        <v>1</v>
      </c>
      <c r="R49" s="2" t="inlineStr">
        <is>
          <t>Revlummer</t>
        </is>
      </c>
      <c r="S49">
        <f>HYPERLINK("https://klasma.github.io/Logging_1907/artfynd/A 30074-2023 artfynd.xlsx", "A 30074-2023")</f>
        <v/>
      </c>
      <c r="T49">
        <f>HYPERLINK("https://klasma.github.io/Logging_1907/kartor/A 30074-2023 karta.png", "A 30074-2023")</f>
        <v/>
      </c>
      <c r="V49">
        <f>HYPERLINK("https://klasma.github.io/Logging_1907/klagomål/A 30074-2023 FSC-klagomål.docx", "A 30074-2023")</f>
        <v/>
      </c>
      <c r="W49">
        <f>HYPERLINK("https://klasma.github.io/Logging_1907/klagomålsmail/A 30074-2023 FSC-klagomål mail.docx", "A 30074-2023")</f>
        <v/>
      </c>
      <c r="X49">
        <f>HYPERLINK("https://klasma.github.io/Logging_1907/tillsyn/A 30074-2023 tillsynsbegäran.docx", "A 30074-2023")</f>
        <v/>
      </c>
      <c r="Y49">
        <f>HYPERLINK("https://klasma.github.io/Logging_1907/tillsynsmail/A 30074-2023 tillsynsbegäran mail.docx", "A 30074-2023")</f>
        <v/>
      </c>
    </row>
    <row r="50" ht="15" customHeight="1">
      <c r="A50" t="inlineStr">
        <is>
          <t>A 44356-2024</t>
        </is>
      </c>
      <c r="B50" s="1" t="n">
        <v>45573</v>
      </c>
      <c r="C50" s="1" t="n">
        <v>45996</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40411-2021</t>
        </is>
      </c>
      <c r="B51" s="1" t="n">
        <v>44419</v>
      </c>
      <c r="C51" s="1" t="n">
        <v>45996</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45996</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18717-2021</t>
        </is>
      </c>
      <c r="B53" s="1" t="n">
        <v>44306</v>
      </c>
      <c r="C53" s="1" t="n">
        <v>45996</v>
      </c>
      <c r="D53" t="inlineStr">
        <is>
          <t>VÄSTMANLANDS LÄN</t>
        </is>
      </c>
      <c r="E53" t="inlineStr">
        <is>
          <t>SURAHAMMAR</t>
        </is>
      </c>
      <c r="F53" t="inlineStr">
        <is>
          <t>Bergvik skog väst AB</t>
        </is>
      </c>
      <c r="G53" t="n">
        <v>18</v>
      </c>
      <c r="H53" t="n">
        <v>1</v>
      </c>
      <c r="I53" t="n">
        <v>0</v>
      </c>
      <c r="J53" t="n">
        <v>0</v>
      </c>
      <c r="K53" t="n">
        <v>0</v>
      </c>
      <c r="L53" t="n">
        <v>0</v>
      </c>
      <c r="M53" t="n">
        <v>0</v>
      </c>
      <c r="N53" t="n">
        <v>0</v>
      </c>
      <c r="O53" t="n">
        <v>0</v>
      </c>
      <c r="P53" t="n">
        <v>0</v>
      </c>
      <c r="Q53" t="n">
        <v>1</v>
      </c>
      <c r="R53" s="2" t="inlineStr">
        <is>
          <t>Revlummer</t>
        </is>
      </c>
      <c r="S53">
        <f>HYPERLINK("https://klasma.github.io/Logging_1907/artfynd/A 18717-2021 artfynd.xlsx", "A 18717-2021")</f>
        <v/>
      </c>
      <c r="T53">
        <f>HYPERLINK("https://klasma.github.io/Logging_1907/kartor/A 18717-2021 karta.png", "A 18717-2021")</f>
        <v/>
      </c>
      <c r="V53">
        <f>HYPERLINK("https://klasma.github.io/Logging_1907/klagomål/A 18717-2021 FSC-klagomål.docx", "A 18717-2021")</f>
        <v/>
      </c>
      <c r="W53">
        <f>HYPERLINK("https://klasma.github.io/Logging_1907/klagomålsmail/A 18717-2021 FSC-klagomål mail.docx", "A 18717-2021")</f>
        <v/>
      </c>
      <c r="X53">
        <f>HYPERLINK("https://klasma.github.io/Logging_1907/tillsyn/A 18717-2021 tillsynsbegäran.docx", "A 18717-2021")</f>
        <v/>
      </c>
      <c r="Y53">
        <f>HYPERLINK("https://klasma.github.io/Logging_1907/tillsynsmail/A 18717-2021 tillsynsbegäran mail.docx", "A 18717-2021")</f>
        <v/>
      </c>
    </row>
    <row r="54" ht="15" customHeight="1">
      <c r="A54" t="inlineStr">
        <is>
          <t>A 22840-2023</t>
        </is>
      </c>
      <c r="B54" s="1" t="n">
        <v>45072</v>
      </c>
      <c r="C54" s="1" t="n">
        <v>45996</v>
      </c>
      <c r="D54" t="inlineStr">
        <is>
          <t>VÄSTMANLANDS LÄN</t>
        </is>
      </c>
      <c r="E54" t="inlineStr">
        <is>
          <t>SURAHAMMAR</t>
        </is>
      </c>
      <c r="G54" t="n">
        <v>4.3</v>
      </c>
      <c r="H54" t="n">
        <v>1</v>
      </c>
      <c r="I54" t="n">
        <v>0</v>
      </c>
      <c r="J54" t="n">
        <v>0</v>
      </c>
      <c r="K54" t="n">
        <v>0</v>
      </c>
      <c r="L54" t="n">
        <v>0</v>
      </c>
      <c r="M54" t="n">
        <v>0</v>
      </c>
      <c r="N54" t="n">
        <v>0</v>
      </c>
      <c r="O54" t="n">
        <v>0</v>
      </c>
      <c r="P54" t="n">
        <v>0</v>
      </c>
      <c r="Q54" t="n">
        <v>1</v>
      </c>
      <c r="R54" s="2" t="inlineStr">
        <is>
          <t>Fläcknycklar</t>
        </is>
      </c>
      <c r="S54">
        <f>HYPERLINK("https://klasma.github.io/Logging_1907/artfynd/A 22840-2023 artfynd.xlsx", "A 22840-2023")</f>
        <v/>
      </c>
      <c r="T54">
        <f>HYPERLINK("https://klasma.github.io/Logging_1907/kartor/A 22840-2023 karta.png", "A 22840-2023")</f>
        <v/>
      </c>
      <c r="V54">
        <f>HYPERLINK("https://klasma.github.io/Logging_1907/klagomål/A 22840-2023 FSC-klagomål.docx", "A 22840-2023")</f>
        <v/>
      </c>
      <c r="W54">
        <f>HYPERLINK("https://klasma.github.io/Logging_1907/klagomålsmail/A 22840-2023 FSC-klagomål mail.docx", "A 22840-2023")</f>
        <v/>
      </c>
      <c r="X54">
        <f>HYPERLINK("https://klasma.github.io/Logging_1907/tillsyn/A 22840-2023 tillsynsbegäran.docx", "A 22840-2023")</f>
        <v/>
      </c>
      <c r="Y54">
        <f>HYPERLINK("https://klasma.github.io/Logging_1907/tillsynsmail/A 22840-2023 tillsynsbegäran mail.docx", "A 22840-2023")</f>
        <v/>
      </c>
    </row>
    <row r="55" ht="15" customHeight="1">
      <c r="A55" t="inlineStr">
        <is>
          <t>A 33231-2024</t>
        </is>
      </c>
      <c r="B55" s="1" t="n">
        <v>45518</v>
      </c>
      <c r="C55" s="1" t="n">
        <v>45996</v>
      </c>
      <c r="D55" t="inlineStr">
        <is>
          <t>VÄSTMANLANDS LÄN</t>
        </is>
      </c>
      <c r="E55" t="inlineStr">
        <is>
          <t>SURAHAMMAR</t>
        </is>
      </c>
      <c r="F55" t="inlineStr">
        <is>
          <t>Bergvik skog väst AB</t>
        </is>
      </c>
      <c r="G55" t="n">
        <v>1.5</v>
      </c>
      <c r="H55" t="n">
        <v>1</v>
      </c>
      <c r="I55" t="n">
        <v>0</v>
      </c>
      <c r="J55" t="n">
        <v>0</v>
      </c>
      <c r="K55" t="n">
        <v>0</v>
      </c>
      <c r="L55" t="n">
        <v>0</v>
      </c>
      <c r="M55" t="n">
        <v>0</v>
      </c>
      <c r="N55" t="n">
        <v>0</v>
      </c>
      <c r="O55" t="n">
        <v>0</v>
      </c>
      <c r="P55" t="n">
        <v>0</v>
      </c>
      <c r="Q55" t="n">
        <v>1</v>
      </c>
      <c r="R55" s="2" t="inlineStr">
        <is>
          <t>Mindre vattensalamander</t>
        </is>
      </c>
      <c r="S55">
        <f>HYPERLINK("https://klasma.github.io/Logging_1907/artfynd/A 33231-2024 artfynd.xlsx", "A 33231-2024")</f>
        <v/>
      </c>
      <c r="T55">
        <f>HYPERLINK("https://klasma.github.io/Logging_1907/kartor/A 33231-2024 karta.png", "A 33231-2024")</f>
        <v/>
      </c>
      <c r="V55">
        <f>HYPERLINK("https://klasma.github.io/Logging_1907/klagomål/A 33231-2024 FSC-klagomål.docx", "A 33231-2024")</f>
        <v/>
      </c>
      <c r="W55">
        <f>HYPERLINK("https://klasma.github.io/Logging_1907/klagomålsmail/A 33231-2024 FSC-klagomål mail.docx", "A 33231-2024")</f>
        <v/>
      </c>
      <c r="X55">
        <f>HYPERLINK("https://klasma.github.io/Logging_1907/tillsyn/A 33231-2024 tillsynsbegäran.docx", "A 33231-2024")</f>
        <v/>
      </c>
      <c r="Y55">
        <f>HYPERLINK("https://klasma.github.io/Logging_1907/tillsynsmail/A 33231-2024 tillsynsbegäran mail.docx", "A 33231-2024")</f>
        <v/>
      </c>
    </row>
    <row r="56" ht="15" customHeight="1">
      <c r="A56" t="inlineStr">
        <is>
          <t>A 56362-2023</t>
        </is>
      </c>
      <c r="B56" s="1" t="n">
        <v>45236</v>
      </c>
      <c r="C56" s="1" t="n">
        <v>45996</v>
      </c>
      <c r="D56" t="inlineStr">
        <is>
          <t>VÄSTMANLANDS LÄN</t>
        </is>
      </c>
      <c r="E56" t="inlineStr">
        <is>
          <t>SURAHAMMAR</t>
        </is>
      </c>
      <c r="F56" t="inlineStr">
        <is>
          <t>Bergvik skog väst AB</t>
        </is>
      </c>
      <c r="G56" t="n">
        <v>15.2</v>
      </c>
      <c r="H56" t="n">
        <v>0</v>
      </c>
      <c r="I56" t="n">
        <v>1</v>
      </c>
      <c r="J56" t="n">
        <v>0</v>
      </c>
      <c r="K56" t="n">
        <v>0</v>
      </c>
      <c r="L56" t="n">
        <v>0</v>
      </c>
      <c r="M56" t="n">
        <v>0</v>
      </c>
      <c r="N56" t="n">
        <v>0</v>
      </c>
      <c r="O56" t="n">
        <v>0</v>
      </c>
      <c r="P56" t="n">
        <v>0</v>
      </c>
      <c r="Q56" t="n">
        <v>1</v>
      </c>
      <c r="R56" s="2" t="inlineStr">
        <is>
          <t>Grönpyrola</t>
        </is>
      </c>
      <c r="S56">
        <f>HYPERLINK("https://klasma.github.io/Logging_1907/artfynd/A 56362-2023 artfynd.xlsx", "A 56362-2023")</f>
        <v/>
      </c>
      <c r="T56">
        <f>HYPERLINK("https://klasma.github.io/Logging_1907/kartor/A 56362-2023 karta.png", "A 56362-2023")</f>
        <v/>
      </c>
      <c r="V56">
        <f>HYPERLINK("https://klasma.github.io/Logging_1907/klagomål/A 56362-2023 FSC-klagomål.docx", "A 56362-2023")</f>
        <v/>
      </c>
      <c r="W56">
        <f>HYPERLINK("https://klasma.github.io/Logging_1907/klagomålsmail/A 56362-2023 FSC-klagomål mail.docx", "A 56362-2023")</f>
        <v/>
      </c>
      <c r="X56">
        <f>HYPERLINK("https://klasma.github.io/Logging_1907/tillsyn/A 56362-2023 tillsynsbegäran.docx", "A 56362-2023")</f>
        <v/>
      </c>
      <c r="Y56">
        <f>HYPERLINK("https://klasma.github.io/Logging_1907/tillsynsmail/A 56362-2023 tillsynsbegäran mail.docx", "A 56362-2023")</f>
        <v/>
      </c>
    </row>
    <row r="57" ht="15" customHeight="1">
      <c r="A57" t="inlineStr">
        <is>
          <t>A 47453-2024</t>
        </is>
      </c>
      <c r="B57" s="1" t="n">
        <v>45587.55017361111</v>
      </c>
      <c r="C57" s="1" t="n">
        <v>45996</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25583-2024</t>
        </is>
      </c>
      <c r="B58" s="1" t="n">
        <v>45463</v>
      </c>
      <c r="C58" s="1" t="n">
        <v>45996</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14001-2023</t>
        </is>
      </c>
      <c r="B59" s="1" t="n">
        <v>45007</v>
      </c>
      <c r="C59" s="1" t="n">
        <v>45996</v>
      </c>
      <c r="D59" t="inlineStr">
        <is>
          <t>VÄSTMANLANDS LÄN</t>
        </is>
      </c>
      <c r="E59" t="inlineStr">
        <is>
          <t>SURAHAMMAR</t>
        </is>
      </c>
      <c r="F59" t="inlineStr">
        <is>
          <t>Bergvik skog väst AB</t>
        </is>
      </c>
      <c r="G59" t="n">
        <v>1</v>
      </c>
      <c r="H59" t="n">
        <v>0</v>
      </c>
      <c r="I59" t="n">
        <v>0</v>
      </c>
      <c r="J59" t="n">
        <v>1</v>
      </c>
      <c r="K59" t="n">
        <v>0</v>
      </c>
      <c r="L59" t="n">
        <v>0</v>
      </c>
      <c r="M59" t="n">
        <v>0</v>
      </c>
      <c r="N59" t="n">
        <v>0</v>
      </c>
      <c r="O59" t="n">
        <v>1</v>
      </c>
      <c r="P59" t="n">
        <v>0</v>
      </c>
      <c r="Q59" t="n">
        <v>1</v>
      </c>
      <c r="R59" s="2" t="inlineStr">
        <is>
          <t>Motaggsvamp</t>
        </is>
      </c>
      <c r="S59">
        <f>HYPERLINK("https://klasma.github.io/Logging_1907/artfynd/A 14001-2023 artfynd.xlsx", "A 14001-2023")</f>
        <v/>
      </c>
      <c r="T59">
        <f>HYPERLINK("https://klasma.github.io/Logging_1907/kartor/A 14001-2023 karta.png", "A 14001-2023")</f>
        <v/>
      </c>
      <c r="V59">
        <f>HYPERLINK("https://klasma.github.io/Logging_1907/klagomål/A 14001-2023 FSC-klagomål.docx", "A 14001-2023")</f>
        <v/>
      </c>
      <c r="W59">
        <f>HYPERLINK("https://klasma.github.io/Logging_1907/klagomålsmail/A 14001-2023 FSC-klagomål mail.docx", "A 14001-2023")</f>
        <v/>
      </c>
      <c r="X59">
        <f>HYPERLINK("https://klasma.github.io/Logging_1907/tillsyn/A 14001-2023 tillsynsbegäran.docx", "A 14001-2023")</f>
        <v/>
      </c>
      <c r="Y59">
        <f>HYPERLINK("https://klasma.github.io/Logging_1907/tillsynsmail/A 14001-2023 tillsynsbegäran mail.docx", "A 14001-2023")</f>
        <v/>
      </c>
    </row>
    <row r="60" ht="15" customHeight="1">
      <c r="A60" t="inlineStr">
        <is>
          <t>A 39099-2022</t>
        </is>
      </c>
      <c r="B60" s="1" t="n">
        <v>44817</v>
      </c>
      <c r="C60" s="1" t="n">
        <v>45996</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45996</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42089-2025</t>
        </is>
      </c>
      <c r="B62" s="1" t="n">
        <v>45902</v>
      </c>
      <c r="C62" s="1" t="n">
        <v>45996</v>
      </c>
      <c r="D62" t="inlineStr">
        <is>
          <t>VÄSTMANLANDS LÄN</t>
        </is>
      </c>
      <c r="E62" t="inlineStr">
        <is>
          <t>SURAHAMMAR</t>
        </is>
      </c>
      <c r="G62" t="n">
        <v>2.2</v>
      </c>
      <c r="H62" t="n">
        <v>0</v>
      </c>
      <c r="I62" t="n">
        <v>0</v>
      </c>
      <c r="J62" t="n">
        <v>1</v>
      </c>
      <c r="K62" t="n">
        <v>0</v>
      </c>
      <c r="L62" t="n">
        <v>0</v>
      </c>
      <c r="M62" t="n">
        <v>0</v>
      </c>
      <c r="N62" t="n">
        <v>0</v>
      </c>
      <c r="O62" t="n">
        <v>1</v>
      </c>
      <c r="P62" t="n">
        <v>0</v>
      </c>
      <c r="Q62" t="n">
        <v>1</v>
      </c>
      <c r="R62" s="2" t="inlineStr">
        <is>
          <t>Motaggsvamp</t>
        </is>
      </c>
      <c r="S62">
        <f>HYPERLINK("https://klasma.github.io/Logging_1907/artfynd/A 42089-2025 artfynd.xlsx", "A 42089-2025")</f>
        <v/>
      </c>
      <c r="T62">
        <f>HYPERLINK("https://klasma.github.io/Logging_1907/kartor/A 42089-2025 karta.png", "A 42089-2025")</f>
        <v/>
      </c>
      <c r="V62">
        <f>HYPERLINK("https://klasma.github.io/Logging_1907/klagomål/A 42089-2025 FSC-klagomål.docx", "A 42089-2025")</f>
        <v/>
      </c>
      <c r="W62">
        <f>HYPERLINK("https://klasma.github.io/Logging_1907/klagomålsmail/A 42089-2025 FSC-klagomål mail.docx", "A 42089-2025")</f>
        <v/>
      </c>
      <c r="X62">
        <f>HYPERLINK("https://klasma.github.io/Logging_1907/tillsyn/A 42089-2025 tillsynsbegäran.docx", "A 42089-2025")</f>
        <v/>
      </c>
      <c r="Y62">
        <f>HYPERLINK("https://klasma.github.io/Logging_1907/tillsynsmail/A 42089-2025 tillsynsbegäran mail.docx", "A 42089-2025")</f>
        <v/>
      </c>
    </row>
    <row r="63" ht="15" customHeight="1">
      <c r="A63" t="inlineStr">
        <is>
          <t>A 10819-2024</t>
        </is>
      </c>
      <c r="B63" s="1" t="n">
        <v>45369.66049768519</v>
      </c>
      <c r="C63" s="1" t="n">
        <v>45996</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13971-2023</t>
        </is>
      </c>
      <c r="B64" s="1" t="n">
        <v>45007</v>
      </c>
      <c r="C64" s="1" t="n">
        <v>45996</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69777-2021</t>
        </is>
      </c>
      <c r="B65" s="1" t="n">
        <v>44532</v>
      </c>
      <c r="C65" s="1" t="n">
        <v>45996</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31176-2024</t>
        </is>
      </c>
      <c r="B66" s="1" t="n">
        <v>45503</v>
      </c>
      <c r="C66" s="1" t="n">
        <v>45996</v>
      </c>
      <c r="D66" t="inlineStr">
        <is>
          <t>VÄSTMANLANDS LÄN</t>
        </is>
      </c>
      <c r="E66" t="inlineStr">
        <is>
          <t>SURAHAMMAR</t>
        </is>
      </c>
      <c r="F66" t="inlineStr">
        <is>
          <t>Allmännings- och besparingsskogar</t>
        </is>
      </c>
      <c r="G66" t="n">
        <v>10.7</v>
      </c>
      <c r="H66" t="n">
        <v>0</v>
      </c>
      <c r="I66" t="n">
        <v>0</v>
      </c>
      <c r="J66" t="n">
        <v>1</v>
      </c>
      <c r="K66" t="n">
        <v>0</v>
      </c>
      <c r="L66" t="n">
        <v>0</v>
      </c>
      <c r="M66" t="n">
        <v>0</v>
      </c>
      <c r="N66" t="n">
        <v>0</v>
      </c>
      <c r="O66" t="n">
        <v>1</v>
      </c>
      <c r="P66" t="n">
        <v>0</v>
      </c>
      <c r="Q66" t="n">
        <v>1</v>
      </c>
      <c r="R66" s="2" t="inlineStr">
        <is>
          <t>Doftskinn</t>
        </is>
      </c>
      <c r="S66">
        <f>HYPERLINK("https://klasma.github.io/Logging_1907/artfynd/A 31176-2024 artfynd.xlsx", "A 31176-2024")</f>
        <v/>
      </c>
      <c r="T66">
        <f>HYPERLINK("https://klasma.github.io/Logging_1907/kartor/A 31176-2024 karta.png", "A 31176-2024")</f>
        <v/>
      </c>
      <c r="V66">
        <f>HYPERLINK("https://klasma.github.io/Logging_1907/klagomål/A 31176-2024 FSC-klagomål.docx", "A 31176-2024")</f>
        <v/>
      </c>
      <c r="W66">
        <f>HYPERLINK("https://klasma.github.io/Logging_1907/klagomålsmail/A 31176-2024 FSC-klagomål mail.docx", "A 31176-2024")</f>
        <v/>
      </c>
      <c r="X66">
        <f>HYPERLINK("https://klasma.github.io/Logging_1907/tillsyn/A 31176-2024 tillsynsbegäran.docx", "A 31176-2024")</f>
        <v/>
      </c>
      <c r="Y66">
        <f>HYPERLINK("https://klasma.github.io/Logging_1907/tillsynsmail/A 31176-2024 tillsynsbegäran mail.docx", "A 31176-2024")</f>
        <v/>
      </c>
    </row>
    <row r="67" ht="15" customHeight="1">
      <c r="A67" t="inlineStr">
        <is>
          <t>A 17632-2022</t>
        </is>
      </c>
      <c r="B67" s="1" t="n">
        <v>44680</v>
      </c>
      <c r="C67" s="1" t="n">
        <v>45996</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43451-2024</t>
        </is>
      </c>
      <c r="B68" s="1" t="n">
        <v>45568</v>
      </c>
      <c r="C68" s="1" t="n">
        <v>45996</v>
      </c>
      <c r="D68" t="inlineStr">
        <is>
          <t>VÄSTMANLANDS LÄN</t>
        </is>
      </c>
      <c r="E68" t="inlineStr">
        <is>
          <t>SURAHAMMAR</t>
        </is>
      </c>
      <c r="F68" t="inlineStr">
        <is>
          <t>Bergvik skog väst AB</t>
        </is>
      </c>
      <c r="G68" t="n">
        <v>2.9</v>
      </c>
      <c r="H68" t="n">
        <v>0</v>
      </c>
      <c r="I68" t="n">
        <v>0</v>
      </c>
      <c r="J68" t="n">
        <v>1</v>
      </c>
      <c r="K68" t="n">
        <v>0</v>
      </c>
      <c r="L68" t="n">
        <v>0</v>
      </c>
      <c r="M68" t="n">
        <v>0</v>
      </c>
      <c r="N68" t="n">
        <v>0</v>
      </c>
      <c r="O68" t="n">
        <v>1</v>
      </c>
      <c r="P68" t="n">
        <v>0</v>
      </c>
      <c r="Q68" t="n">
        <v>1</v>
      </c>
      <c r="R68" s="2" t="inlineStr">
        <is>
          <t>Ullticka</t>
        </is>
      </c>
      <c r="S68">
        <f>HYPERLINK("https://klasma.github.io/Logging_1907/artfynd/A 43451-2024 artfynd.xlsx", "A 43451-2024")</f>
        <v/>
      </c>
      <c r="T68">
        <f>HYPERLINK("https://klasma.github.io/Logging_1907/kartor/A 43451-2024 karta.png", "A 43451-2024")</f>
        <v/>
      </c>
      <c r="V68">
        <f>HYPERLINK("https://klasma.github.io/Logging_1907/klagomål/A 43451-2024 FSC-klagomål.docx", "A 43451-2024")</f>
        <v/>
      </c>
      <c r="W68">
        <f>HYPERLINK("https://klasma.github.io/Logging_1907/klagomålsmail/A 43451-2024 FSC-klagomål mail.docx", "A 43451-2024")</f>
        <v/>
      </c>
      <c r="X68">
        <f>HYPERLINK("https://klasma.github.io/Logging_1907/tillsyn/A 43451-2024 tillsynsbegäran.docx", "A 43451-2024")</f>
        <v/>
      </c>
      <c r="Y68">
        <f>HYPERLINK("https://klasma.github.io/Logging_1907/tillsynsmail/A 43451-2024 tillsynsbegäran mail.docx", "A 43451-2024")</f>
        <v/>
      </c>
    </row>
    <row r="69" ht="15" customHeight="1">
      <c r="A69" t="inlineStr">
        <is>
          <t>A 55042-2025</t>
        </is>
      </c>
      <c r="B69" s="1" t="n">
        <v>45967.65858796296</v>
      </c>
      <c r="C69" s="1" t="n">
        <v>45996</v>
      </c>
      <c r="D69" t="inlineStr">
        <is>
          <t>VÄSTMANLANDS LÄN</t>
        </is>
      </c>
      <c r="E69" t="inlineStr">
        <is>
          <t>SURAHAMMAR</t>
        </is>
      </c>
      <c r="F69" t="inlineStr">
        <is>
          <t>Sveaskog</t>
        </is>
      </c>
      <c r="G69" t="n">
        <v>7.2</v>
      </c>
      <c r="H69" t="n">
        <v>0</v>
      </c>
      <c r="I69" t="n">
        <v>0</v>
      </c>
      <c r="J69" t="n">
        <v>1</v>
      </c>
      <c r="K69" t="n">
        <v>0</v>
      </c>
      <c r="L69" t="n">
        <v>0</v>
      </c>
      <c r="M69" t="n">
        <v>0</v>
      </c>
      <c r="N69" t="n">
        <v>0</v>
      </c>
      <c r="O69" t="n">
        <v>1</v>
      </c>
      <c r="P69" t="n">
        <v>0</v>
      </c>
      <c r="Q69" t="n">
        <v>1</v>
      </c>
      <c r="R69" s="2" t="inlineStr">
        <is>
          <t>Motaggsvamp</t>
        </is>
      </c>
      <c r="S69">
        <f>HYPERLINK("https://klasma.github.io/Logging_1907/artfynd/A 55042-2025 artfynd.xlsx", "A 55042-2025")</f>
        <v/>
      </c>
      <c r="T69">
        <f>HYPERLINK("https://klasma.github.io/Logging_1907/kartor/A 55042-2025 karta.png", "A 55042-2025")</f>
        <v/>
      </c>
      <c r="V69">
        <f>HYPERLINK("https://klasma.github.io/Logging_1907/klagomål/A 55042-2025 FSC-klagomål.docx", "A 55042-2025")</f>
        <v/>
      </c>
      <c r="W69">
        <f>HYPERLINK("https://klasma.github.io/Logging_1907/klagomålsmail/A 55042-2025 FSC-klagomål mail.docx", "A 55042-2025")</f>
        <v/>
      </c>
      <c r="X69">
        <f>HYPERLINK("https://klasma.github.io/Logging_1907/tillsyn/A 55042-2025 tillsynsbegäran.docx", "A 55042-2025")</f>
        <v/>
      </c>
      <c r="Y69">
        <f>HYPERLINK("https://klasma.github.io/Logging_1907/tillsynsmail/A 55042-2025 tillsynsbegäran mail.docx", "A 55042-2025")</f>
        <v/>
      </c>
    </row>
    <row r="70" ht="15" customHeight="1">
      <c r="A70" t="inlineStr">
        <is>
          <t>A 56768-2025</t>
        </is>
      </c>
      <c r="B70" s="1" t="n">
        <v>45978</v>
      </c>
      <c r="C70" s="1" t="n">
        <v>45996</v>
      </c>
      <c r="D70" t="inlineStr">
        <is>
          <t>VÄSTMANLANDS LÄN</t>
        </is>
      </c>
      <c r="E70" t="inlineStr">
        <is>
          <t>SURAHAMMAR</t>
        </is>
      </c>
      <c r="F70" t="inlineStr">
        <is>
          <t>Sveaskog</t>
        </is>
      </c>
      <c r="G70" t="n">
        <v>3.8</v>
      </c>
      <c r="H70" t="n">
        <v>0</v>
      </c>
      <c r="I70" t="n">
        <v>0</v>
      </c>
      <c r="J70" t="n">
        <v>1</v>
      </c>
      <c r="K70" t="n">
        <v>0</v>
      </c>
      <c r="L70" t="n">
        <v>0</v>
      </c>
      <c r="M70" t="n">
        <v>0</v>
      </c>
      <c r="N70" t="n">
        <v>0</v>
      </c>
      <c r="O70" t="n">
        <v>1</v>
      </c>
      <c r="P70" t="n">
        <v>0</v>
      </c>
      <c r="Q70" t="n">
        <v>1</v>
      </c>
      <c r="R70" s="2" t="inlineStr">
        <is>
          <t>Motaggsvamp</t>
        </is>
      </c>
      <c r="S70">
        <f>HYPERLINK("https://klasma.github.io/Logging_1907/artfynd/A 56768-2025 artfynd.xlsx", "A 56768-2025")</f>
        <v/>
      </c>
      <c r="T70">
        <f>HYPERLINK("https://klasma.github.io/Logging_1907/kartor/A 56768-2025 karta.png", "A 56768-2025")</f>
        <v/>
      </c>
      <c r="V70">
        <f>HYPERLINK("https://klasma.github.io/Logging_1907/klagomål/A 56768-2025 FSC-klagomål.docx", "A 56768-2025")</f>
        <v/>
      </c>
      <c r="W70">
        <f>HYPERLINK("https://klasma.github.io/Logging_1907/klagomålsmail/A 56768-2025 FSC-klagomål mail.docx", "A 56768-2025")</f>
        <v/>
      </c>
      <c r="X70">
        <f>HYPERLINK("https://klasma.github.io/Logging_1907/tillsyn/A 56768-2025 tillsynsbegäran.docx", "A 56768-2025")</f>
        <v/>
      </c>
      <c r="Y70">
        <f>HYPERLINK("https://klasma.github.io/Logging_1907/tillsynsmail/A 56768-2025 tillsynsbegäran mail.docx", "A 56768-2025")</f>
        <v/>
      </c>
    </row>
    <row r="71" ht="15" customHeight="1">
      <c r="A71" t="inlineStr">
        <is>
          <t>A 64073-2021</t>
        </is>
      </c>
      <c r="B71" s="1" t="n">
        <v>44509</v>
      </c>
      <c r="C71" s="1" t="n">
        <v>45996</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1492-2021</t>
        </is>
      </c>
      <c r="B72" s="1" t="n">
        <v>44209</v>
      </c>
      <c r="C72" s="1" t="n">
        <v>45996</v>
      </c>
      <c r="D72" t="inlineStr">
        <is>
          <t>VÄSTMANLANDS LÄN</t>
        </is>
      </c>
      <c r="E72" t="inlineStr">
        <is>
          <t>SURAHAMMAR</t>
        </is>
      </c>
      <c r="G72" t="n">
        <v>1.2</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45996</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45996</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45996</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45996</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45996</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45996</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45996</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45996</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45996</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45996</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45996</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66342-2021</t>
        </is>
      </c>
      <c r="B84" s="1" t="n">
        <v>44518</v>
      </c>
      <c r="C84" s="1" t="n">
        <v>45996</v>
      </c>
      <c r="D84" t="inlineStr">
        <is>
          <t>VÄSTMANLANDS LÄN</t>
        </is>
      </c>
      <c r="E84" t="inlineStr">
        <is>
          <t>SURAHAMMAR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34957-2022</t>
        </is>
      </c>
      <c r="B85" s="1" t="n">
        <v>44796.64672453704</v>
      </c>
      <c r="C85" s="1" t="n">
        <v>45996</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45996</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48205-2023</t>
        </is>
      </c>
      <c r="B87" s="1" t="n">
        <v>45205</v>
      </c>
      <c r="C87" s="1" t="n">
        <v>45996</v>
      </c>
      <c r="D87" t="inlineStr">
        <is>
          <t>VÄSTMANLANDS LÄN</t>
        </is>
      </c>
      <c r="E87" t="inlineStr">
        <is>
          <t>SURAHAMMAR</t>
        </is>
      </c>
      <c r="F87" t="inlineStr">
        <is>
          <t>Allmännings- och besparingsskogar</t>
        </is>
      </c>
      <c r="G87" t="n">
        <v>7.6</v>
      </c>
      <c r="H87" t="n">
        <v>0</v>
      </c>
      <c r="I87" t="n">
        <v>0</v>
      </c>
      <c r="J87" t="n">
        <v>0</v>
      </c>
      <c r="K87" t="n">
        <v>0</v>
      </c>
      <c r="L87" t="n">
        <v>0</v>
      </c>
      <c r="M87" t="n">
        <v>0</v>
      </c>
      <c r="N87" t="n">
        <v>0</v>
      </c>
      <c r="O87" t="n">
        <v>0</v>
      </c>
      <c r="P87" t="n">
        <v>0</v>
      </c>
      <c r="Q87" t="n">
        <v>0</v>
      </c>
      <c r="R87" s="2" t="inlineStr"/>
    </row>
    <row r="88" ht="15" customHeight="1">
      <c r="A88" t="inlineStr">
        <is>
          <t>A 15743-2023</t>
        </is>
      </c>
      <c r="B88" s="1" t="n">
        <v>45021</v>
      </c>
      <c r="C88" s="1" t="n">
        <v>45996</v>
      </c>
      <c r="D88" t="inlineStr">
        <is>
          <t>VÄSTMANLANDS LÄN</t>
        </is>
      </c>
      <c r="E88" t="inlineStr">
        <is>
          <t>SURAHAMMAR</t>
        </is>
      </c>
      <c r="G88" t="n">
        <v>0.5</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45996</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30076-2023</t>
        </is>
      </c>
      <c r="B90" s="1" t="n">
        <v>45110</v>
      </c>
      <c r="C90" s="1" t="n">
        <v>45996</v>
      </c>
      <c r="D90" t="inlineStr">
        <is>
          <t>VÄSTMANLANDS LÄN</t>
        </is>
      </c>
      <c r="E90" t="inlineStr">
        <is>
          <t>SURAHAMMAR</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16608-2022</t>
        </is>
      </c>
      <c r="B91" s="1" t="n">
        <v>44672</v>
      </c>
      <c r="C91" s="1" t="n">
        <v>45996</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15637-2022</t>
        </is>
      </c>
      <c r="B92" s="1" t="n">
        <v>44662.89638888889</v>
      </c>
      <c r="C92" s="1" t="n">
        <v>45996</v>
      </c>
      <c r="D92" t="inlineStr">
        <is>
          <t>VÄSTMANLANDS LÄN</t>
        </is>
      </c>
      <c r="E92" t="inlineStr">
        <is>
          <t>SURAHAMMAR</t>
        </is>
      </c>
      <c r="G92" t="n">
        <v>2.2</v>
      </c>
      <c r="H92" t="n">
        <v>0</v>
      </c>
      <c r="I92" t="n">
        <v>0</v>
      </c>
      <c r="J92" t="n">
        <v>0</v>
      </c>
      <c r="K92" t="n">
        <v>0</v>
      </c>
      <c r="L92" t="n">
        <v>0</v>
      </c>
      <c r="M92" t="n">
        <v>0</v>
      </c>
      <c r="N92" t="n">
        <v>0</v>
      </c>
      <c r="O92" t="n">
        <v>0</v>
      </c>
      <c r="P92" t="n">
        <v>0</v>
      </c>
      <c r="Q92" t="n">
        <v>0</v>
      </c>
      <c r="R92" s="2" t="inlineStr"/>
    </row>
    <row r="93" ht="15" customHeight="1">
      <c r="A93" t="inlineStr">
        <is>
          <t>A 19846-2022</t>
        </is>
      </c>
      <c r="B93" s="1" t="n">
        <v>44696.89327546296</v>
      </c>
      <c r="C93" s="1" t="n">
        <v>45996</v>
      </c>
      <c r="D93" t="inlineStr">
        <is>
          <t>VÄSTMANLANDS LÄN</t>
        </is>
      </c>
      <c r="E93" t="inlineStr">
        <is>
          <t>SURAHAMMAR</t>
        </is>
      </c>
      <c r="F93" t="inlineStr">
        <is>
          <t>Kommuner</t>
        </is>
      </c>
      <c r="G93" t="n">
        <v>3.4</v>
      </c>
      <c r="H93" t="n">
        <v>0</v>
      </c>
      <c r="I93" t="n">
        <v>0</v>
      </c>
      <c r="J93" t="n">
        <v>0</v>
      </c>
      <c r="K93" t="n">
        <v>0</v>
      </c>
      <c r="L93" t="n">
        <v>0</v>
      </c>
      <c r="M93" t="n">
        <v>0</v>
      </c>
      <c r="N93" t="n">
        <v>0</v>
      </c>
      <c r="O93" t="n">
        <v>0</v>
      </c>
      <c r="P93" t="n">
        <v>0</v>
      </c>
      <c r="Q93" t="n">
        <v>0</v>
      </c>
      <c r="R93" s="2" t="inlineStr"/>
    </row>
    <row r="94" ht="15" customHeight="1">
      <c r="A94" t="inlineStr">
        <is>
          <t>A 38154-2021</t>
        </is>
      </c>
      <c r="B94" s="1" t="n">
        <v>44405.42373842592</v>
      </c>
      <c r="C94" s="1" t="n">
        <v>45996</v>
      </c>
      <c r="D94" t="inlineStr">
        <is>
          <t>VÄSTMANLANDS LÄN</t>
        </is>
      </c>
      <c r="E94" t="inlineStr">
        <is>
          <t>SURAHAMMAR</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13119-2022</t>
        </is>
      </c>
      <c r="B95" s="1" t="n">
        <v>44643</v>
      </c>
      <c r="C95" s="1" t="n">
        <v>45996</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19637-2022</t>
        </is>
      </c>
      <c r="B96" s="1" t="n">
        <v>44694</v>
      </c>
      <c r="C96" s="1" t="n">
        <v>45996</v>
      </c>
      <c r="D96" t="inlineStr">
        <is>
          <t>VÄSTMANLANDS LÄN</t>
        </is>
      </c>
      <c r="E96" t="inlineStr">
        <is>
          <t>SURAHAMMAR</t>
        </is>
      </c>
      <c r="F96" t="inlineStr">
        <is>
          <t>Bergvik skog väst AB</t>
        </is>
      </c>
      <c r="G96" t="n">
        <v>0.7</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45996</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45996</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14626-2023</t>
        </is>
      </c>
      <c r="B99" s="1" t="n">
        <v>45012</v>
      </c>
      <c r="C99" s="1" t="n">
        <v>45996</v>
      </c>
      <c r="D99" t="inlineStr">
        <is>
          <t>VÄSTMANLANDS LÄN</t>
        </is>
      </c>
      <c r="E99" t="inlineStr">
        <is>
          <t>SURAHAMMAR</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37798-2021</t>
        </is>
      </c>
      <c r="B100" s="1" t="n">
        <v>44402</v>
      </c>
      <c r="C100" s="1" t="n">
        <v>45996</v>
      </c>
      <c r="D100" t="inlineStr">
        <is>
          <t>VÄSTMANLANDS LÄN</t>
        </is>
      </c>
      <c r="E100" t="inlineStr">
        <is>
          <t>SURAHAMMAR</t>
        </is>
      </c>
      <c r="F100" t="inlineStr">
        <is>
          <t>Kommuner</t>
        </is>
      </c>
      <c r="G100" t="n">
        <v>1.2</v>
      </c>
      <c r="H100" t="n">
        <v>0</v>
      </c>
      <c r="I100" t="n">
        <v>0</v>
      </c>
      <c r="J100" t="n">
        <v>0</v>
      </c>
      <c r="K100" t="n">
        <v>0</v>
      </c>
      <c r="L100" t="n">
        <v>0</v>
      </c>
      <c r="M100" t="n">
        <v>0</v>
      </c>
      <c r="N100" t="n">
        <v>0</v>
      </c>
      <c r="O100" t="n">
        <v>0</v>
      </c>
      <c r="P100" t="n">
        <v>0</v>
      </c>
      <c r="Q100" t="n">
        <v>0</v>
      </c>
      <c r="R100" s="2" t="inlineStr"/>
    </row>
    <row r="101" ht="15" customHeight="1">
      <c r="A101" t="inlineStr">
        <is>
          <t>A 7787-2024</t>
        </is>
      </c>
      <c r="B101" s="1" t="n">
        <v>45348</v>
      </c>
      <c r="C101" s="1" t="n">
        <v>45996</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25450-2024</t>
        </is>
      </c>
      <c r="B102" s="1" t="n">
        <v>45463</v>
      </c>
      <c r="C102" s="1" t="n">
        <v>45996</v>
      </c>
      <c r="D102" t="inlineStr">
        <is>
          <t>VÄSTMANLANDS LÄN</t>
        </is>
      </c>
      <c r="E102" t="inlineStr">
        <is>
          <t>SURAHAMMAR</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19782-2023</t>
        </is>
      </c>
      <c r="B103" s="1" t="n">
        <v>45050</v>
      </c>
      <c r="C103" s="1" t="n">
        <v>45996</v>
      </c>
      <c r="D103" t="inlineStr">
        <is>
          <t>VÄSTMANLANDS LÄN</t>
        </is>
      </c>
      <c r="E103" t="inlineStr">
        <is>
          <t>SURAHAMMAR</t>
        </is>
      </c>
      <c r="F103" t="inlineStr">
        <is>
          <t>Bergvik skog väst AB</t>
        </is>
      </c>
      <c r="G103" t="n">
        <v>5.2</v>
      </c>
      <c r="H103" t="n">
        <v>0</v>
      </c>
      <c r="I103" t="n">
        <v>0</v>
      </c>
      <c r="J103" t="n">
        <v>0</v>
      </c>
      <c r="K103" t="n">
        <v>0</v>
      </c>
      <c r="L103" t="n">
        <v>0</v>
      </c>
      <c r="M103" t="n">
        <v>0</v>
      </c>
      <c r="N103" t="n">
        <v>0</v>
      </c>
      <c r="O103" t="n">
        <v>0</v>
      </c>
      <c r="P103" t="n">
        <v>0</v>
      </c>
      <c r="Q103" t="n">
        <v>0</v>
      </c>
      <c r="R103" s="2" t="inlineStr"/>
    </row>
    <row r="104" ht="15" customHeight="1">
      <c r="A104" t="inlineStr">
        <is>
          <t>A 37287-2023</t>
        </is>
      </c>
      <c r="B104" s="1" t="n">
        <v>45156</v>
      </c>
      <c r="C104" s="1" t="n">
        <v>45996</v>
      </c>
      <c r="D104" t="inlineStr">
        <is>
          <t>VÄSTMANLANDS LÄN</t>
        </is>
      </c>
      <c r="E104" t="inlineStr">
        <is>
          <t>SURAHAMMAR</t>
        </is>
      </c>
      <c r="G104" t="n">
        <v>0.6</v>
      </c>
      <c r="H104" t="n">
        <v>0</v>
      </c>
      <c r="I104" t="n">
        <v>0</v>
      </c>
      <c r="J104" t="n">
        <v>0</v>
      </c>
      <c r="K104" t="n">
        <v>0</v>
      </c>
      <c r="L104" t="n">
        <v>0</v>
      </c>
      <c r="M104" t="n">
        <v>0</v>
      </c>
      <c r="N104" t="n">
        <v>0</v>
      </c>
      <c r="O104" t="n">
        <v>0</v>
      </c>
      <c r="P104" t="n">
        <v>0</v>
      </c>
      <c r="Q104" t="n">
        <v>0</v>
      </c>
      <c r="R104" s="2" t="inlineStr"/>
    </row>
    <row r="105" ht="15" customHeight="1">
      <c r="A105" t="inlineStr">
        <is>
          <t>A 34582-2025</t>
        </is>
      </c>
      <c r="B105" s="1" t="n">
        <v>45846</v>
      </c>
      <c r="C105" s="1" t="n">
        <v>45996</v>
      </c>
      <c r="D105" t="inlineStr">
        <is>
          <t>VÄSTMANLANDS LÄN</t>
        </is>
      </c>
      <c r="E105" t="inlineStr">
        <is>
          <t>SURAHAMMAR</t>
        </is>
      </c>
      <c r="F105" t="inlineStr">
        <is>
          <t>Bergvik skog väst AB</t>
        </is>
      </c>
      <c r="G105" t="n">
        <v>2.6</v>
      </c>
      <c r="H105" t="n">
        <v>0</v>
      </c>
      <c r="I105" t="n">
        <v>0</v>
      </c>
      <c r="J105" t="n">
        <v>0</v>
      </c>
      <c r="K105" t="n">
        <v>0</v>
      </c>
      <c r="L105" t="n">
        <v>0</v>
      </c>
      <c r="M105" t="n">
        <v>0</v>
      </c>
      <c r="N105" t="n">
        <v>0</v>
      </c>
      <c r="O105" t="n">
        <v>0</v>
      </c>
      <c r="P105" t="n">
        <v>0</v>
      </c>
      <c r="Q105" t="n">
        <v>0</v>
      </c>
      <c r="R105" s="2" t="inlineStr"/>
    </row>
    <row r="106" ht="15" customHeight="1">
      <c r="A106" t="inlineStr">
        <is>
          <t>A 7848-2022</t>
        </is>
      </c>
      <c r="B106" s="1" t="n">
        <v>44608.58400462963</v>
      </c>
      <c r="C106" s="1" t="n">
        <v>45996</v>
      </c>
      <c r="D106" t="inlineStr">
        <is>
          <t>VÄSTMANLANDS LÄN</t>
        </is>
      </c>
      <c r="E106" t="inlineStr">
        <is>
          <t>SURAHAMMAR</t>
        </is>
      </c>
      <c r="G106" t="n">
        <v>2.1</v>
      </c>
      <c r="H106" t="n">
        <v>0</v>
      </c>
      <c r="I106" t="n">
        <v>0</v>
      </c>
      <c r="J106" t="n">
        <v>0</v>
      </c>
      <c r="K106" t="n">
        <v>0</v>
      </c>
      <c r="L106" t="n">
        <v>0</v>
      </c>
      <c r="M106" t="n">
        <v>0</v>
      </c>
      <c r="N106" t="n">
        <v>0</v>
      </c>
      <c r="O106" t="n">
        <v>0</v>
      </c>
      <c r="P106" t="n">
        <v>0</v>
      </c>
      <c r="Q106" t="n">
        <v>0</v>
      </c>
      <c r="R106" s="2" t="inlineStr"/>
    </row>
    <row r="107" ht="15" customHeight="1">
      <c r="A107" t="inlineStr">
        <is>
          <t>A 41576-2022</t>
        </is>
      </c>
      <c r="B107" s="1" t="n">
        <v>44826</v>
      </c>
      <c r="C107" s="1" t="n">
        <v>45996</v>
      </c>
      <c r="D107" t="inlineStr">
        <is>
          <t>VÄSTMANLANDS LÄN</t>
        </is>
      </c>
      <c r="E107" t="inlineStr">
        <is>
          <t>SURAHAMMAR</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24167-2024</t>
        </is>
      </c>
      <c r="B108" s="1" t="n">
        <v>45456</v>
      </c>
      <c r="C108" s="1" t="n">
        <v>45996</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45996</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19099-2022</t>
        </is>
      </c>
      <c r="B110" s="1" t="n">
        <v>44691</v>
      </c>
      <c r="C110" s="1" t="n">
        <v>45996</v>
      </c>
      <c r="D110" t="inlineStr">
        <is>
          <t>VÄSTMANLANDS LÄN</t>
        </is>
      </c>
      <c r="E110" t="inlineStr">
        <is>
          <t>SURAHAMMAR</t>
        </is>
      </c>
      <c r="F110" t="inlineStr">
        <is>
          <t>Övriga Aktiebolag</t>
        </is>
      </c>
      <c r="G110" t="n">
        <v>3.4</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45996</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11501-2023</t>
        </is>
      </c>
      <c r="B112" s="1" t="n">
        <v>44991</v>
      </c>
      <c r="C112" s="1" t="n">
        <v>45996</v>
      </c>
      <c r="D112" t="inlineStr">
        <is>
          <t>VÄSTMANLANDS LÄN</t>
        </is>
      </c>
      <c r="E112" t="inlineStr">
        <is>
          <t>SURAHAMMAR</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32916-2025</t>
        </is>
      </c>
      <c r="B113" s="1" t="n">
        <v>45839</v>
      </c>
      <c r="C113" s="1" t="n">
        <v>45996</v>
      </c>
      <c r="D113" t="inlineStr">
        <is>
          <t>VÄSTMANLANDS LÄN</t>
        </is>
      </c>
      <c r="E113" t="inlineStr">
        <is>
          <t>SURAHAMMAR</t>
        </is>
      </c>
      <c r="F113" t="inlineStr">
        <is>
          <t>Kommuner</t>
        </is>
      </c>
      <c r="G113" t="n">
        <v>4.9</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45996</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72367-2021</t>
        </is>
      </c>
      <c r="B115" s="1" t="n">
        <v>44545</v>
      </c>
      <c r="C115" s="1" t="n">
        <v>45996</v>
      </c>
      <c r="D115" t="inlineStr">
        <is>
          <t>VÄSTMANLANDS LÄN</t>
        </is>
      </c>
      <c r="E115" t="inlineStr">
        <is>
          <t>SURAHAMMAR</t>
        </is>
      </c>
      <c r="G115" t="n">
        <v>2.5</v>
      </c>
      <c r="H115" t="n">
        <v>0</v>
      </c>
      <c r="I115" t="n">
        <v>0</v>
      </c>
      <c r="J115" t="n">
        <v>0</v>
      </c>
      <c r="K115" t="n">
        <v>0</v>
      </c>
      <c r="L115" t="n">
        <v>0</v>
      </c>
      <c r="M115" t="n">
        <v>0</v>
      </c>
      <c r="N115" t="n">
        <v>0</v>
      </c>
      <c r="O115" t="n">
        <v>0</v>
      </c>
      <c r="P115" t="n">
        <v>0</v>
      </c>
      <c r="Q115" t="n">
        <v>0</v>
      </c>
      <c r="R115" s="2" t="inlineStr"/>
    </row>
    <row r="116" ht="15" customHeight="1">
      <c r="A116" t="inlineStr">
        <is>
          <t>A 33931-2022</t>
        </is>
      </c>
      <c r="B116" s="1" t="n">
        <v>44790.65153935185</v>
      </c>
      <c r="C116" s="1" t="n">
        <v>45996</v>
      </c>
      <c r="D116" t="inlineStr">
        <is>
          <t>VÄSTMANLANDS LÄN</t>
        </is>
      </c>
      <c r="E116" t="inlineStr">
        <is>
          <t>SURAHAMMAR</t>
        </is>
      </c>
      <c r="G116" t="n">
        <v>2.2</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45996</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3818-2022</t>
        </is>
      </c>
      <c r="B118" s="1" t="n">
        <v>44587</v>
      </c>
      <c r="C118" s="1" t="n">
        <v>45996</v>
      </c>
      <c r="D118" t="inlineStr">
        <is>
          <t>VÄSTMANLANDS LÄN</t>
        </is>
      </c>
      <c r="E118" t="inlineStr">
        <is>
          <t>SURAHAMMAR</t>
        </is>
      </c>
      <c r="G118" t="n">
        <v>2.6</v>
      </c>
      <c r="H118" t="n">
        <v>0</v>
      </c>
      <c r="I118" t="n">
        <v>0</v>
      </c>
      <c r="J118" t="n">
        <v>0</v>
      </c>
      <c r="K118" t="n">
        <v>0</v>
      </c>
      <c r="L118" t="n">
        <v>0</v>
      </c>
      <c r="M118" t="n">
        <v>0</v>
      </c>
      <c r="N118" t="n">
        <v>0</v>
      </c>
      <c r="O118" t="n">
        <v>0</v>
      </c>
      <c r="P118" t="n">
        <v>0</v>
      </c>
      <c r="Q118" t="n">
        <v>0</v>
      </c>
      <c r="R118" s="2" t="inlineStr"/>
    </row>
    <row r="119" ht="15" customHeight="1">
      <c r="A119" t="inlineStr">
        <is>
          <t>A 24158-2023</t>
        </is>
      </c>
      <c r="B119" s="1" t="n">
        <v>45079</v>
      </c>
      <c r="C119" s="1" t="n">
        <v>45996</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37954-2025</t>
        </is>
      </c>
      <c r="B120" s="1" t="n">
        <v>45881</v>
      </c>
      <c r="C120" s="1" t="n">
        <v>45996</v>
      </c>
      <c r="D120" t="inlineStr">
        <is>
          <t>VÄSTMANLANDS LÄN</t>
        </is>
      </c>
      <c r="E120" t="inlineStr">
        <is>
          <t>SURAHAMMAR</t>
        </is>
      </c>
      <c r="G120" t="n">
        <v>9.5</v>
      </c>
      <c r="H120" t="n">
        <v>0</v>
      </c>
      <c r="I120" t="n">
        <v>0</v>
      </c>
      <c r="J120" t="n">
        <v>0</v>
      </c>
      <c r="K120" t="n">
        <v>0</v>
      </c>
      <c r="L120" t="n">
        <v>0</v>
      </c>
      <c r="M120" t="n">
        <v>0</v>
      </c>
      <c r="N120" t="n">
        <v>0</v>
      </c>
      <c r="O120" t="n">
        <v>0</v>
      </c>
      <c r="P120" t="n">
        <v>0</v>
      </c>
      <c r="Q120" t="n">
        <v>0</v>
      </c>
      <c r="R120" s="2" t="inlineStr"/>
    </row>
    <row r="121" ht="15" customHeight="1">
      <c r="A121" t="inlineStr">
        <is>
          <t>A 42088-2025</t>
        </is>
      </c>
      <c r="B121" s="1" t="n">
        <v>45902</v>
      </c>
      <c r="C121" s="1" t="n">
        <v>45996</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42714-2022</t>
        </is>
      </c>
      <c r="B122" s="1" t="n">
        <v>44832</v>
      </c>
      <c r="C122" s="1" t="n">
        <v>45996</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45996</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11728-2023</t>
        </is>
      </c>
      <c r="B124" s="1" t="n">
        <v>44993</v>
      </c>
      <c r="C124" s="1" t="n">
        <v>45996</v>
      </c>
      <c r="D124" t="inlineStr">
        <is>
          <t>VÄSTMANLANDS LÄN</t>
        </is>
      </c>
      <c r="E124" t="inlineStr">
        <is>
          <t>SURAHAMMAR</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31107-2025</t>
        </is>
      </c>
      <c r="B125" s="1" t="n">
        <v>45831</v>
      </c>
      <c r="C125" s="1" t="n">
        <v>45996</v>
      </c>
      <c r="D125" t="inlineStr">
        <is>
          <t>VÄSTMANLANDS LÄN</t>
        </is>
      </c>
      <c r="E125" t="inlineStr">
        <is>
          <t>SURAHAMMAR</t>
        </is>
      </c>
      <c r="F125" t="inlineStr">
        <is>
          <t>Kommuner</t>
        </is>
      </c>
      <c r="G125" t="n">
        <v>1.7</v>
      </c>
      <c r="H125" t="n">
        <v>0</v>
      </c>
      <c r="I125" t="n">
        <v>0</v>
      </c>
      <c r="J125" t="n">
        <v>0</v>
      </c>
      <c r="K125" t="n">
        <v>0</v>
      </c>
      <c r="L125" t="n">
        <v>0</v>
      </c>
      <c r="M125" t="n">
        <v>0</v>
      </c>
      <c r="N125" t="n">
        <v>0</v>
      </c>
      <c r="O125" t="n">
        <v>0</v>
      </c>
      <c r="P125" t="n">
        <v>0</v>
      </c>
      <c r="Q125" t="n">
        <v>0</v>
      </c>
      <c r="R125" s="2" t="inlineStr"/>
    </row>
    <row r="126" ht="15" customHeight="1">
      <c r="A126" t="inlineStr">
        <is>
          <t>A 5567-2022</t>
        </is>
      </c>
      <c r="B126" s="1" t="n">
        <v>44595</v>
      </c>
      <c r="C126" s="1" t="n">
        <v>45996</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42832-2022</t>
        </is>
      </c>
      <c r="B127" s="1" t="n">
        <v>44832</v>
      </c>
      <c r="C127" s="1" t="n">
        <v>45996</v>
      </c>
      <c r="D127" t="inlineStr">
        <is>
          <t>VÄSTMANLANDS LÄN</t>
        </is>
      </c>
      <c r="E127" t="inlineStr">
        <is>
          <t>SURAHAMMAR</t>
        </is>
      </c>
      <c r="G127" t="n">
        <v>1.1</v>
      </c>
      <c r="H127" t="n">
        <v>0</v>
      </c>
      <c r="I127" t="n">
        <v>0</v>
      </c>
      <c r="J127" t="n">
        <v>0</v>
      </c>
      <c r="K127" t="n">
        <v>0</v>
      </c>
      <c r="L127" t="n">
        <v>0</v>
      </c>
      <c r="M127" t="n">
        <v>0</v>
      </c>
      <c r="N127" t="n">
        <v>0</v>
      </c>
      <c r="O127" t="n">
        <v>0</v>
      </c>
      <c r="P127" t="n">
        <v>0</v>
      </c>
      <c r="Q127" t="n">
        <v>0</v>
      </c>
      <c r="R127" s="2" t="inlineStr"/>
    </row>
    <row r="128" ht="15" customHeight="1">
      <c r="A128" t="inlineStr">
        <is>
          <t>A 24665-2023</t>
        </is>
      </c>
      <c r="B128" s="1" t="n">
        <v>45084.48592592592</v>
      </c>
      <c r="C128" s="1" t="n">
        <v>45996</v>
      </c>
      <c r="D128" t="inlineStr">
        <is>
          <t>VÄSTMANLANDS LÄN</t>
        </is>
      </c>
      <c r="E128" t="inlineStr">
        <is>
          <t>SURAHAMMAR</t>
        </is>
      </c>
      <c r="G128" t="n">
        <v>0.9</v>
      </c>
      <c r="H128" t="n">
        <v>0</v>
      </c>
      <c r="I128" t="n">
        <v>0</v>
      </c>
      <c r="J128" t="n">
        <v>0</v>
      </c>
      <c r="K128" t="n">
        <v>0</v>
      </c>
      <c r="L128" t="n">
        <v>0</v>
      </c>
      <c r="M128" t="n">
        <v>0</v>
      </c>
      <c r="N128" t="n">
        <v>0</v>
      </c>
      <c r="O128" t="n">
        <v>0</v>
      </c>
      <c r="P128" t="n">
        <v>0</v>
      </c>
      <c r="Q128" t="n">
        <v>0</v>
      </c>
      <c r="R128" s="2" t="inlineStr"/>
    </row>
    <row r="129" ht="15" customHeight="1">
      <c r="A129" t="inlineStr">
        <is>
          <t>A 32808-2024</t>
        </is>
      </c>
      <c r="B129" s="1" t="n">
        <v>45516</v>
      </c>
      <c r="C129" s="1" t="n">
        <v>45996</v>
      </c>
      <c r="D129" t="inlineStr">
        <is>
          <t>VÄSTMANLANDS LÄN</t>
        </is>
      </c>
      <c r="E129" t="inlineStr">
        <is>
          <t>SURAHAMMAR</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43249-2025</t>
        </is>
      </c>
      <c r="B130" s="1" t="n">
        <v>45910.55059027778</v>
      </c>
      <c r="C130" s="1" t="n">
        <v>45996</v>
      </c>
      <c r="D130" t="inlineStr">
        <is>
          <t>VÄSTMANLANDS LÄN</t>
        </is>
      </c>
      <c r="E130" t="inlineStr">
        <is>
          <t>SURAHAMMAR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43255-2025</t>
        </is>
      </c>
      <c r="B131" s="1" t="n">
        <v>45910.55325231481</v>
      </c>
      <c r="C131" s="1" t="n">
        <v>45996</v>
      </c>
      <c r="D131" t="inlineStr">
        <is>
          <t>VÄSTMANLANDS LÄN</t>
        </is>
      </c>
      <c r="E131" t="inlineStr">
        <is>
          <t>SURAHAMMAR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42841-2022</t>
        </is>
      </c>
      <c r="B132" s="1" t="n">
        <v>44832</v>
      </c>
      <c r="C132" s="1" t="n">
        <v>45996</v>
      </c>
      <c r="D132" t="inlineStr">
        <is>
          <t>VÄSTMANLANDS LÄN</t>
        </is>
      </c>
      <c r="E132" t="inlineStr">
        <is>
          <t>SURAHAMMAR</t>
        </is>
      </c>
      <c r="G132" t="n">
        <v>1.8</v>
      </c>
      <c r="H132" t="n">
        <v>0</v>
      </c>
      <c r="I132" t="n">
        <v>0</v>
      </c>
      <c r="J132" t="n">
        <v>0</v>
      </c>
      <c r="K132" t="n">
        <v>0</v>
      </c>
      <c r="L132" t="n">
        <v>0</v>
      </c>
      <c r="M132" t="n">
        <v>0</v>
      </c>
      <c r="N132" t="n">
        <v>0</v>
      </c>
      <c r="O132" t="n">
        <v>0</v>
      </c>
      <c r="P132" t="n">
        <v>0</v>
      </c>
      <c r="Q132" t="n">
        <v>0</v>
      </c>
      <c r="R132" s="2" t="inlineStr"/>
    </row>
    <row r="133" ht="15" customHeight="1">
      <c r="A133" t="inlineStr">
        <is>
          <t>A 42829-2022</t>
        </is>
      </c>
      <c r="B133" s="1" t="n">
        <v>44832</v>
      </c>
      <c r="C133" s="1" t="n">
        <v>45996</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21509-2024</t>
        </is>
      </c>
      <c r="B134" s="1" t="n">
        <v>45441</v>
      </c>
      <c r="C134" s="1" t="n">
        <v>45996</v>
      </c>
      <c r="D134" t="inlineStr">
        <is>
          <t>VÄSTMANLANDS LÄN</t>
        </is>
      </c>
      <c r="E134" t="inlineStr">
        <is>
          <t>SURAHAMMAR</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22662-2023</t>
        </is>
      </c>
      <c r="B135" s="1" t="n">
        <v>45071</v>
      </c>
      <c r="C135" s="1" t="n">
        <v>45996</v>
      </c>
      <c r="D135" t="inlineStr">
        <is>
          <t>VÄSTMANLANDS LÄN</t>
        </is>
      </c>
      <c r="E135" t="inlineStr">
        <is>
          <t>SURAHAMMAR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16013-2023</t>
        </is>
      </c>
      <c r="B136" s="1" t="n">
        <v>45026</v>
      </c>
      <c r="C136" s="1" t="n">
        <v>45996</v>
      </c>
      <c r="D136" t="inlineStr">
        <is>
          <t>VÄSTMANLANDS LÄN</t>
        </is>
      </c>
      <c r="E136" t="inlineStr">
        <is>
          <t>SURAHAMMAR</t>
        </is>
      </c>
      <c r="G136" t="n">
        <v>3.9</v>
      </c>
      <c r="H136" t="n">
        <v>0</v>
      </c>
      <c r="I136" t="n">
        <v>0</v>
      </c>
      <c r="J136" t="n">
        <v>0</v>
      </c>
      <c r="K136" t="n">
        <v>0</v>
      </c>
      <c r="L136" t="n">
        <v>0</v>
      </c>
      <c r="M136" t="n">
        <v>0</v>
      </c>
      <c r="N136" t="n">
        <v>0</v>
      </c>
      <c r="O136" t="n">
        <v>0</v>
      </c>
      <c r="P136" t="n">
        <v>0</v>
      </c>
      <c r="Q136" t="n">
        <v>0</v>
      </c>
      <c r="R136" s="2" t="inlineStr"/>
    </row>
    <row r="137" ht="15" customHeight="1">
      <c r="A137" t="inlineStr">
        <is>
          <t>A 2867-2024</t>
        </is>
      </c>
      <c r="B137" s="1" t="n">
        <v>45315</v>
      </c>
      <c r="C137" s="1" t="n">
        <v>45996</v>
      </c>
      <c r="D137" t="inlineStr">
        <is>
          <t>VÄSTMANLANDS LÄN</t>
        </is>
      </c>
      <c r="E137" t="inlineStr">
        <is>
          <t>SURAHAMMAR</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41555-2022</t>
        </is>
      </c>
      <c r="B138" s="1" t="n">
        <v>44826</v>
      </c>
      <c r="C138" s="1" t="n">
        <v>45996</v>
      </c>
      <c r="D138" t="inlineStr">
        <is>
          <t>VÄSTMANLANDS LÄN</t>
        </is>
      </c>
      <c r="E138" t="inlineStr">
        <is>
          <t>SURAHAMMAR</t>
        </is>
      </c>
      <c r="F138" t="inlineStr">
        <is>
          <t>Bergvik skog väst AB</t>
        </is>
      </c>
      <c r="G138" t="n">
        <v>1.7</v>
      </c>
      <c r="H138" t="n">
        <v>0</v>
      </c>
      <c r="I138" t="n">
        <v>0</v>
      </c>
      <c r="J138" t="n">
        <v>0</v>
      </c>
      <c r="K138" t="n">
        <v>0</v>
      </c>
      <c r="L138" t="n">
        <v>0</v>
      </c>
      <c r="M138" t="n">
        <v>0</v>
      </c>
      <c r="N138" t="n">
        <v>0</v>
      </c>
      <c r="O138" t="n">
        <v>0</v>
      </c>
      <c r="P138" t="n">
        <v>0</v>
      </c>
      <c r="Q138" t="n">
        <v>0</v>
      </c>
      <c r="R138" s="2" t="inlineStr"/>
    </row>
    <row r="139" ht="15" customHeight="1">
      <c r="A139" t="inlineStr">
        <is>
          <t>A 3085-2023</t>
        </is>
      </c>
      <c r="B139" s="1" t="n">
        <v>44946</v>
      </c>
      <c r="C139" s="1" t="n">
        <v>45996</v>
      </c>
      <c r="D139" t="inlineStr">
        <is>
          <t>VÄSTMANLANDS LÄN</t>
        </is>
      </c>
      <c r="E139" t="inlineStr">
        <is>
          <t>SURAHAMMAR</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25780-2023</t>
        </is>
      </c>
      <c r="B140" s="1" t="n">
        <v>45090.47523148148</v>
      </c>
      <c r="C140" s="1" t="n">
        <v>45996</v>
      </c>
      <c r="D140" t="inlineStr">
        <is>
          <t>VÄSTMANLANDS LÄN</t>
        </is>
      </c>
      <c r="E140" t="inlineStr">
        <is>
          <t>SURAHAMMAR</t>
        </is>
      </c>
      <c r="G140" t="n">
        <v>2.8</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45996</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45996</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13386-2025</t>
        </is>
      </c>
      <c r="B143" s="1" t="n">
        <v>45735</v>
      </c>
      <c r="C143" s="1" t="n">
        <v>45996</v>
      </c>
      <c r="D143" t="inlineStr">
        <is>
          <t>VÄSTMANLANDS LÄN</t>
        </is>
      </c>
      <c r="E143" t="inlineStr">
        <is>
          <t>SURAHAMMAR</t>
        </is>
      </c>
      <c r="F143" t="inlineStr">
        <is>
          <t>Bergvik skog väst AB</t>
        </is>
      </c>
      <c r="G143" t="n">
        <v>4</v>
      </c>
      <c r="H143" t="n">
        <v>0</v>
      </c>
      <c r="I143" t="n">
        <v>0</v>
      </c>
      <c r="J143" t="n">
        <v>0</v>
      </c>
      <c r="K143" t="n">
        <v>0</v>
      </c>
      <c r="L143" t="n">
        <v>0</v>
      </c>
      <c r="M143" t="n">
        <v>0</v>
      </c>
      <c r="N143" t="n">
        <v>0</v>
      </c>
      <c r="O143" t="n">
        <v>0</v>
      </c>
      <c r="P143" t="n">
        <v>0</v>
      </c>
      <c r="Q143" t="n">
        <v>0</v>
      </c>
      <c r="R143" s="2" t="inlineStr"/>
    </row>
    <row r="144" ht="15" customHeight="1">
      <c r="A144" t="inlineStr">
        <is>
          <t>A 34955-2022</t>
        </is>
      </c>
      <c r="B144" s="1" t="n">
        <v>44796</v>
      </c>
      <c r="C144" s="1" t="n">
        <v>45996</v>
      </c>
      <c r="D144" t="inlineStr">
        <is>
          <t>VÄSTMANLANDS LÄN</t>
        </is>
      </c>
      <c r="E144" t="inlineStr">
        <is>
          <t>SURAHAMMAR</t>
        </is>
      </c>
      <c r="F144" t="inlineStr">
        <is>
          <t>Sveaskog</t>
        </is>
      </c>
      <c r="G144" t="n">
        <v>4.6</v>
      </c>
      <c r="H144" t="n">
        <v>0</v>
      </c>
      <c r="I144" t="n">
        <v>0</v>
      </c>
      <c r="J144" t="n">
        <v>0</v>
      </c>
      <c r="K144" t="n">
        <v>0</v>
      </c>
      <c r="L144" t="n">
        <v>0</v>
      </c>
      <c r="M144" t="n">
        <v>0</v>
      </c>
      <c r="N144" t="n">
        <v>0</v>
      </c>
      <c r="O144" t="n">
        <v>0</v>
      </c>
      <c r="P144" t="n">
        <v>0</v>
      </c>
      <c r="Q144" t="n">
        <v>0</v>
      </c>
      <c r="R144" s="2" t="inlineStr"/>
    </row>
    <row r="145" ht="15" customHeight="1">
      <c r="A145" t="inlineStr">
        <is>
          <t>A 47785-2021</t>
        </is>
      </c>
      <c r="B145" s="1" t="n">
        <v>44448</v>
      </c>
      <c r="C145" s="1" t="n">
        <v>45996</v>
      </c>
      <c r="D145" t="inlineStr">
        <is>
          <t>VÄSTMANLANDS LÄN</t>
        </is>
      </c>
      <c r="E145" t="inlineStr">
        <is>
          <t>SURAHAMMAR</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20904-2023</t>
        </is>
      </c>
      <c r="B146" s="1" t="n">
        <v>45060</v>
      </c>
      <c r="C146" s="1" t="n">
        <v>45996</v>
      </c>
      <c r="D146" t="inlineStr">
        <is>
          <t>VÄSTMANLANDS LÄN</t>
        </is>
      </c>
      <c r="E146" t="inlineStr">
        <is>
          <t>SURAHAMMAR</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10883-2023</t>
        </is>
      </c>
      <c r="B147" s="1" t="n">
        <v>44991</v>
      </c>
      <c r="C147" s="1" t="n">
        <v>45996</v>
      </c>
      <c r="D147" t="inlineStr">
        <is>
          <t>VÄSTMANLANDS LÄN</t>
        </is>
      </c>
      <c r="E147" t="inlineStr">
        <is>
          <t>SURAHAMMAR</t>
        </is>
      </c>
      <c r="F147" t="inlineStr">
        <is>
          <t>Övriga Aktiebolag</t>
        </is>
      </c>
      <c r="G147" t="n">
        <v>12.5</v>
      </c>
      <c r="H147" t="n">
        <v>0</v>
      </c>
      <c r="I147" t="n">
        <v>0</v>
      </c>
      <c r="J147" t="n">
        <v>0</v>
      </c>
      <c r="K147" t="n">
        <v>0</v>
      </c>
      <c r="L147" t="n">
        <v>0</v>
      </c>
      <c r="M147" t="n">
        <v>0</v>
      </c>
      <c r="N147" t="n">
        <v>0</v>
      </c>
      <c r="O147" t="n">
        <v>0</v>
      </c>
      <c r="P147" t="n">
        <v>0</v>
      </c>
      <c r="Q147" t="n">
        <v>0</v>
      </c>
      <c r="R147" s="2" t="inlineStr"/>
    </row>
    <row r="148" ht="15" customHeight="1">
      <c r="A148" t="inlineStr">
        <is>
          <t>A 2660-2024</t>
        </is>
      </c>
      <c r="B148" s="1" t="n">
        <v>45310</v>
      </c>
      <c r="C148" s="1" t="n">
        <v>45996</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15739-2023</t>
        </is>
      </c>
      <c r="B149" s="1" t="n">
        <v>45021</v>
      </c>
      <c r="C149" s="1" t="n">
        <v>45996</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55871-2025</t>
        </is>
      </c>
      <c r="B150" s="1" t="n">
        <v>45973.35452546296</v>
      </c>
      <c r="C150" s="1" t="n">
        <v>45996</v>
      </c>
      <c r="D150" t="inlineStr">
        <is>
          <t>VÄSTMANLANDS LÄN</t>
        </is>
      </c>
      <c r="E150" t="inlineStr">
        <is>
          <t>SURAHAMMAR</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55868-2025</t>
        </is>
      </c>
      <c r="B151" s="1" t="n">
        <v>45973.35263888889</v>
      </c>
      <c r="C151" s="1" t="n">
        <v>45996</v>
      </c>
      <c r="D151" t="inlineStr">
        <is>
          <t>VÄSTMANLANDS LÄN</t>
        </is>
      </c>
      <c r="E151" t="inlineStr">
        <is>
          <t>SURAHAMMAR</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55873-2025</t>
        </is>
      </c>
      <c r="B152" s="1" t="n">
        <v>45973.35608796297</v>
      </c>
      <c r="C152" s="1" t="n">
        <v>45996</v>
      </c>
      <c r="D152" t="inlineStr">
        <is>
          <t>VÄSTMANLANDS LÄN</t>
        </is>
      </c>
      <c r="E152" t="inlineStr">
        <is>
          <t>SURAHAMMAR</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55874-2025</t>
        </is>
      </c>
      <c r="B153" s="1" t="n">
        <v>45973.3569212963</v>
      </c>
      <c r="C153" s="1" t="n">
        <v>45996</v>
      </c>
      <c r="D153" t="inlineStr">
        <is>
          <t>VÄSTMANLANDS LÄN</t>
        </is>
      </c>
      <c r="E153" t="inlineStr">
        <is>
          <t>SURAHAMMAR</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56543-2025</t>
        </is>
      </c>
      <c r="B154" s="1" t="n">
        <v>45975</v>
      </c>
      <c r="C154" s="1" t="n">
        <v>45996</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56541-2025</t>
        </is>
      </c>
      <c r="B155" s="1" t="n">
        <v>45975</v>
      </c>
      <c r="C155" s="1" t="n">
        <v>45996</v>
      </c>
      <c r="D155" t="inlineStr">
        <is>
          <t>VÄSTMANLANDS LÄN</t>
        </is>
      </c>
      <c r="E155" t="inlineStr">
        <is>
          <t>SURAHAMMAR</t>
        </is>
      </c>
      <c r="F155" t="inlineStr">
        <is>
          <t>Sveaskog</t>
        </is>
      </c>
      <c r="G155" t="n">
        <v>7.6</v>
      </c>
      <c r="H155" t="n">
        <v>0</v>
      </c>
      <c r="I155" t="n">
        <v>0</v>
      </c>
      <c r="J155" t="n">
        <v>0</v>
      </c>
      <c r="K155" t="n">
        <v>0</v>
      </c>
      <c r="L155" t="n">
        <v>0</v>
      </c>
      <c r="M155" t="n">
        <v>0</v>
      </c>
      <c r="N155" t="n">
        <v>0</v>
      </c>
      <c r="O155" t="n">
        <v>0</v>
      </c>
      <c r="P155" t="n">
        <v>0</v>
      </c>
      <c r="Q155" t="n">
        <v>0</v>
      </c>
      <c r="R155" s="2" t="inlineStr"/>
    </row>
    <row r="156">
      <c r="A156" t="inlineStr">
        <is>
          <t>A 59399-2025</t>
        </is>
      </c>
      <c r="B156" s="1" t="n">
        <v>45989</v>
      </c>
      <c r="C156" s="1" t="n">
        <v>45996</v>
      </c>
      <c r="D156" t="inlineStr">
        <is>
          <t>VÄSTMANLANDS LÄN</t>
        </is>
      </c>
      <c r="E156" t="inlineStr">
        <is>
          <t>SURAHAMMAR</t>
        </is>
      </c>
      <c r="F156" t="inlineStr">
        <is>
          <t>Kommuner</t>
        </is>
      </c>
      <c r="G156" t="n">
        <v>2.1</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2025-12-05T10:31:56Z</dcterms:created>
  <dcterms:modified xmlns:dcterms="http://purl.org/dc/terms/" xmlns:xsi="http://www.w3.org/2001/XMLSchema-instance" xsi:type="dcterms:W3CDTF">2025-12-05T10:31:56Z</dcterms:modified>
</cp:coreProperties>
</file>