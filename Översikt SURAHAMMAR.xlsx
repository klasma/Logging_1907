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45732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45732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45732</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45732</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45732</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45732</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45732</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45732</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45732</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45732</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45732</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45732</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45732</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45732</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45732</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45732</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45732</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45732</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45732</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45732</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45732</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45732</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45732</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45732</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45732</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45732</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45732</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45732</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45732</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45732</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65024-2023</t>
        </is>
      </c>
      <c r="B32" s="1" t="n">
        <v>45282</v>
      </c>
      <c r="C32" s="1" t="n">
        <v>45732</v>
      </c>
      <c r="D32" t="inlineStr">
        <is>
          <t>VÄSTMANLANDS LÄN</t>
        </is>
      </c>
      <c r="E32" t="inlineStr">
        <is>
          <t>SURAHAMMAR</t>
        </is>
      </c>
      <c r="F32" t="inlineStr">
        <is>
          <t>Bergvik skog väst AB</t>
        </is>
      </c>
      <c r="G32" t="n">
        <v>14.9</v>
      </c>
      <c r="H32" t="n">
        <v>2</v>
      </c>
      <c r="I32" t="n">
        <v>1</v>
      </c>
      <c r="J32" t="n">
        <v>3</v>
      </c>
      <c r="K32" t="n">
        <v>0</v>
      </c>
      <c r="L32" t="n">
        <v>0</v>
      </c>
      <c r="M32" t="n">
        <v>0</v>
      </c>
      <c r="N32" t="n">
        <v>0</v>
      </c>
      <c r="O32" t="n">
        <v>3</v>
      </c>
      <c r="P32" t="n">
        <v>0</v>
      </c>
      <c r="Q32" t="n">
        <v>4</v>
      </c>
      <c r="R32" s="2" t="inlineStr">
        <is>
          <t>Gropticka
Spillkråka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20707-2024</t>
        </is>
      </c>
      <c r="B33" s="1" t="n">
        <v>45436</v>
      </c>
      <c r="C33" s="1" t="n">
        <v>45732</v>
      </c>
      <c r="D33" t="inlineStr">
        <is>
          <t>VÄSTMANLANDS LÄN</t>
        </is>
      </c>
      <c r="E33" t="inlineStr">
        <is>
          <t>SURAHAMMAR</t>
        </is>
      </c>
      <c r="F33" t="inlineStr">
        <is>
          <t>Bergvik skog väst AB</t>
        </is>
      </c>
      <c r="G33" t="n">
        <v>4.3</v>
      </c>
      <c r="H33" t="n">
        <v>2</v>
      </c>
      <c r="I33" t="n">
        <v>0</v>
      </c>
      <c r="J33" t="n">
        <v>2</v>
      </c>
      <c r="K33" t="n">
        <v>0</v>
      </c>
      <c r="L33" t="n">
        <v>0</v>
      </c>
      <c r="M33" t="n">
        <v>0</v>
      </c>
      <c r="N33" t="n">
        <v>0</v>
      </c>
      <c r="O33" t="n">
        <v>2</v>
      </c>
      <c r="P33" t="n">
        <v>0</v>
      </c>
      <c r="Q33" t="n">
        <v>4</v>
      </c>
      <c r="R33" s="2" t="inlineStr">
        <is>
          <t>Dofttaggsvamp
Orange taggsvamp
Fläcknycklar
Mattlummer</t>
        </is>
      </c>
      <c r="S33">
        <f>HYPERLINK("https://klasma.github.io/Logging_1907/artfynd/A 20707-2024 artfynd.xlsx", "A 20707-2024")</f>
        <v/>
      </c>
      <c r="T33">
        <f>HYPERLINK("https://klasma.github.io/Logging_1907/kartor/A 20707-2024 karta.png", "A 20707-2024")</f>
        <v/>
      </c>
      <c r="V33">
        <f>HYPERLINK("https://klasma.github.io/Logging_1907/klagomål/A 20707-2024 FSC-klagomål.docx", "A 20707-2024")</f>
        <v/>
      </c>
      <c r="W33">
        <f>HYPERLINK("https://klasma.github.io/Logging_1907/klagomålsmail/A 20707-2024 FSC-klagomål mail.docx", "A 20707-2024")</f>
        <v/>
      </c>
      <c r="X33">
        <f>HYPERLINK("https://klasma.github.io/Logging_1907/tillsyn/A 20707-2024 tillsynsbegäran.docx", "A 20707-2024")</f>
        <v/>
      </c>
      <c r="Y33">
        <f>HYPERLINK("https://klasma.github.io/Logging_1907/tillsynsmail/A 20707-2024 tillsynsbegäran mail.docx", "A 20707-2024")</f>
        <v/>
      </c>
    </row>
    <row r="34" ht="15" customHeight="1">
      <c r="A34" t="inlineStr">
        <is>
          <t>A 25548-2024</t>
        </is>
      </c>
      <c r="B34" s="1" t="n">
        <v>45463</v>
      </c>
      <c r="C34" s="1" t="n">
        <v>45732</v>
      </c>
      <c r="D34" t="inlineStr">
        <is>
          <t>VÄSTMANLANDS LÄN</t>
        </is>
      </c>
      <c r="E34" t="inlineStr">
        <is>
          <t>SURAHAMMAR</t>
        </is>
      </c>
      <c r="F34" t="inlineStr">
        <is>
          <t>Bergvik skog väst AB</t>
        </is>
      </c>
      <c r="G34" t="n">
        <v>5.1</v>
      </c>
      <c r="H34" t="n">
        <v>3</v>
      </c>
      <c r="I34" t="n">
        <v>1</v>
      </c>
      <c r="J34" t="n">
        <v>0</v>
      </c>
      <c r="K34" t="n">
        <v>1</v>
      </c>
      <c r="L34" t="n">
        <v>0</v>
      </c>
      <c r="M34" t="n">
        <v>0</v>
      </c>
      <c r="N34" t="n">
        <v>0</v>
      </c>
      <c r="O34" t="n">
        <v>1</v>
      </c>
      <c r="P34" t="n">
        <v>1</v>
      </c>
      <c r="Q34" t="n">
        <v>4</v>
      </c>
      <c r="R34" s="2" t="inlineStr">
        <is>
          <t>Knärot
Vedticka
Fläcknycklar
Nattviol</t>
        </is>
      </c>
      <c r="S34">
        <f>HYPERLINK("https://klasma.github.io/Logging_1907/artfynd/A 25548-2024 artfynd.xlsx", "A 25548-2024")</f>
        <v/>
      </c>
      <c r="T34">
        <f>HYPERLINK("https://klasma.github.io/Logging_1907/kartor/A 25548-2024 karta.png", "A 25548-2024")</f>
        <v/>
      </c>
      <c r="U34">
        <f>HYPERLINK("https://klasma.github.io/Logging_1907/knärot/A 25548-2024 karta knärot.png", "A 25548-2024")</f>
        <v/>
      </c>
      <c r="V34">
        <f>HYPERLINK("https://klasma.github.io/Logging_1907/klagomål/A 25548-2024 FSC-klagomål.docx", "A 25548-2024")</f>
        <v/>
      </c>
      <c r="W34">
        <f>HYPERLINK("https://klasma.github.io/Logging_1907/klagomålsmail/A 25548-2024 FSC-klagomål mail.docx", "A 25548-2024")</f>
        <v/>
      </c>
      <c r="X34">
        <f>HYPERLINK("https://klasma.github.io/Logging_1907/tillsyn/A 25548-2024 tillsynsbegäran.docx", "A 25548-2024")</f>
        <v/>
      </c>
      <c r="Y34">
        <f>HYPERLINK("https://klasma.github.io/Logging_1907/tillsynsmail/A 25548-2024 tillsynsbegäran mail.docx", "A 25548-2024")</f>
        <v/>
      </c>
    </row>
    <row r="35" ht="15" customHeight="1">
      <c r="A35" t="inlineStr">
        <is>
          <t>A 38172-2024</t>
        </is>
      </c>
      <c r="B35" s="1" t="n">
        <v>45545</v>
      </c>
      <c r="C35" s="1" t="n">
        <v>45732</v>
      </c>
      <c r="D35" t="inlineStr">
        <is>
          <t>VÄSTMANLANDS LÄN</t>
        </is>
      </c>
      <c r="E35" t="inlineStr">
        <is>
          <t>SURAHAMMAR</t>
        </is>
      </c>
      <c r="F35" t="inlineStr">
        <is>
          <t>Sveaskog</t>
        </is>
      </c>
      <c r="G35" t="n">
        <v>5.2</v>
      </c>
      <c r="H35" t="n">
        <v>2</v>
      </c>
      <c r="I35" t="n">
        <v>0</v>
      </c>
      <c r="J35" t="n">
        <v>2</v>
      </c>
      <c r="K35" t="n">
        <v>1</v>
      </c>
      <c r="L35" t="n">
        <v>0</v>
      </c>
      <c r="M35" t="n">
        <v>0</v>
      </c>
      <c r="N35" t="n">
        <v>0</v>
      </c>
      <c r="O35" t="n">
        <v>3</v>
      </c>
      <c r="P35" t="n">
        <v>1</v>
      </c>
      <c r="Q35" t="n">
        <v>4</v>
      </c>
      <c r="R35" s="2" t="inlineStr">
        <is>
          <t>Knärot
Gropticka
Vedtrappmossa
Revlummer</t>
        </is>
      </c>
      <c r="S35">
        <f>HYPERLINK("https://klasma.github.io/Logging_1907/artfynd/A 38172-2024 artfynd.xlsx", "A 38172-2024")</f>
        <v/>
      </c>
      <c r="T35">
        <f>HYPERLINK("https://klasma.github.io/Logging_1907/kartor/A 38172-2024 karta.png", "A 38172-2024")</f>
        <v/>
      </c>
      <c r="U35">
        <f>HYPERLINK("https://klasma.github.io/Logging_1907/knärot/A 38172-2024 karta knärot.png", "A 38172-2024")</f>
        <v/>
      </c>
      <c r="V35">
        <f>HYPERLINK("https://klasma.github.io/Logging_1907/klagomål/A 38172-2024 FSC-klagomål.docx", "A 38172-2024")</f>
        <v/>
      </c>
      <c r="W35">
        <f>HYPERLINK("https://klasma.github.io/Logging_1907/klagomålsmail/A 38172-2024 FSC-klagomål mail.docx", "A 38172-2024")</f>
        <v/>
      </c>
      <c r="X35">
        <f>HYPERLINK("https://klasma.github.io/Logging_1907/tillsyn/A 38172-2024 tillsynsbegäran.docx", "A 38172-2024")</f>
        <v/>
      </c>
      <c r="Y35">
        <f>HYPERLINK("https://klasma.github.io/Logging_1907/tillsynsmail/A 38172-2024 tillsynsbegäran mail.docx", "A 38172-2024")</f>
        <v/>
      </c>
    </row>
    <row r="36" ht="15" customHeight="1">
      <c r="A36" t="inlineStr">
        <is>
          <t>A 4105-2025</t>
        </is>
      </c>
      <c r="B36" s="1" t="n">
        <v>45684</v>
      </c>
      <c r="C36" s="1" t="n">
        <v>45732</v>
      </c>
      <c r="D36" t="inlineStr">
        <is>
          <t>VÄSTMANLANDS LÄN</t>
        </is>
      </c>
      <c r="E36" t="inlineStr">
        <is>
          <t>SURAHAMMAR</t>
        </is>
      </c>
      <c r="F36" t="inlineStr">
        <is>
          <t>Bergvik skog väst AB</t>
        </is>
      </c>
      <c r="G36" t="n">
        <v>14.7</v>
      </c>
      <c r="H36" t="n">
        <v>3</v>
      </c>
      <c r="I36" t="n">
        <v>0</v>
      </c>
      <c r="J36" t="n">
        <v>2</v>
      </c>
      <c r="K36" t="n">
        <v>1</v>
      </c>
      <c r="L36" t="n">
        <v>0</v>
      </c>
      <c r="M36" t="n">
        <v>0</v>
      </c>
      <c r="N36" t="n">
        <v>0</v>
      </c>
      <c r="O36" t="n">
        <v>3</v>
      </c>
      <c r="P36" t="n">
        <v>1</v>
      </c>
      <c r="Q36" t="n">
        <v>4</v>
      </c>
      <c r="R36" s="2" t="inlineStr">
        <is>
          <t>Knärot
Havsörn
Ullticka
Revlummer</t>
        </is>
      </c>
      <c r="S36">
        <f>HYPERLINK("https://klasma.github.io/Logging_1907/artfynd/A 4105-2025 artfynd.xlsx", "A 4105-2025")</f>
        <v/>
      </c>
      <c r="T36">
        <f>HYPERLINK("https://klasma.github.io/Logging_1907/kartor/A 4105-2025 karta.png", "A 4105-2025")</f>
        <v/>
      </c>
      <c r="U36">
        <f>HYPERLINK("https://klasma.github.io/Logging_1907/knärot/A 4105-2025 karta knärot.png", "A 4105-2025")</f>
        <v/>
      </c>
      <c r="V36">
        <f>HYPERLINK("https://klasma.github.io/Logging_1907/klagomål/A 4105-2025 FSC-klagomål.docx", "A 4105-2025")</f>
        <v/>
      </c>
      <c r="W36">
        <f>HYPERLINK("https://klasma.github.io/Logging_1907/klagomålsmail/A 4105-2025 FSC-klagomål mail.docx", "A 4105-2025")</f>
        <v/>
      </c>
      <c r="X36">
        <f>HYPERLINK("https://klasma.github.io/Logging_1907/tillsyn/A 4105-2025 tillsynsbegäran.docx", "A 4105-2025")</f>
        <v/>
      </c>
      <c r="Y36">
        <f>HYPERLINK("https://klasma.github.io/Logging_1907/tillsynsmail/A 4105-2025 tillsynsbegäran mail.docx", "A 4105-2025")</f>
        <v/>
      </c>
      <c r="Z36">
        <f>HYPERLINK("https://klasma.github.io/Logging_1907/fåglar/A 4105-2025 prioriterade fågelarter.docx", "A 4105-2025")</f>
        <v/>
      </c>
    </row>
    <row r="37" ht="15" customHeight="1">
      <c r="A37" t="inlineStr">
        <is>
          <t>A 43169-2020</t>
        </is>
      </c>
      <c r="B37" s="1" t="n">
        <v>44081</v>
      </c>
      <c r="C37" s="1" t="n">
        <v>45732</v>
      </c>
      <c r="D37" t="inlineStr">
        <is>
          <t>VÄSTMANLANDS LÄN</t>
        </is>
      </c>
      <c r="E37" t="inlineStr">
        <is>
          <t>SURAHAMMAR</t>
        </is>
      </c>
      <c r="F37" t="inlineStr">
        <is>
          <t>Sveaskog</t>
        </is>
      </c>
      <c r="G37" t="n">
        <v>6.4</v>
      </c>
      <c r="H37" t="n">
        <v>1</v>
      </c>
      <c r="I37" t="n">
        <v>0</v>
      </c>
      <c r="J37" t="n">
        <v>2</v>
      </c>
      <c r="K37" t="n">
        <v>1</v>
      </c>
      <c r="L37" t="n">
        <v>0</v>
      </c>
      <c r="M37" t="n">
        <v>0</v>
      </c>
      <c r="N37" t="n">
        <v>0</v>
      </c>
      <c r="O37" t="n">
        <v>3</v>
      </c>
      <c r="P37" t="n">
        <v>1</v>
      </c>
      <c r="Q37" t="n">
        <v>3</v>
      </c>
      <c r="R37" s="2" t="inlineStr">
        <is>
          <t>Hängticka
Björktrast
Kandelabersvamp</t>
        </is>
      </c>
      <c r="S37">
        <f>HYPERLINK("https://klasma.github.io/Logging_1907/artfynd/A 43169-2020 artfynd.xlsx", "A 43169-2020")</f>
        <v/>
      </c>
      <c r="T37">
        <f>HYPERLINK("https://klasma.github.io/Logging_1907/kartor/A 43169-2020 karta.png", "A 43169-2020")</f>
        <v/>
      </c>
      <c r="V37">
        <f>HYPERLINK("https://klasma.github.io/Logging_1907/klagomål/A 43169-2020 FSC-klagomål.docx", "A 43169-2020")</f>
        <v/>
      </c>
      <c r="W37">
        <f>HYPERLINK("https://klasma.github.io/Logging_1907/klagomålsmail/A 43169-2020 FSC-klagomål mail.docx", "A 43169-2020")</f>
        <v/>
      </c>
      <c r="X37">
        <f>HYPERLINK("https://klasma.github.io/Logging_1907/tillsyn/A 43169-2020 tillsynsbegäran.docx", "A 43169-2020")</f>
        <v/>
      </c>
      <c r="Y37">
        <f>HYPERLINK("https://klasma.github.io/Logging_1907/tillsynsmail/A 43169-2020 tillsynsbegäran mail.docx", "A 43169-2020")</f>
        <v/>
      </c>
      <c r="Z37">
        <f>HYPERLINK("https://klasma.github.io/Logging_1907/fåglar/A 43169-2020 prioriterade fågelarter.docx", "A 43169-2020")</f>
        <v/>
      </c>
    </row>
    <row r="38" ht="15" customHeight="1">
      <c r="A38" t="inlineStr">
        <is>
          <t>A 59550-2020</t>
        </is>
      </c>
      <c r="B38" s="1" t="n">
        <v>44148</v>
      </c>
      <c r="C38" s="1" t="n">
        <v>45732</v>
      </c>
      <c r="D38" t="inlineStr">
        <is>
          <t>VÄSTMANLANDS LÄN</t>
        </is>
      </c>
      <c r="E38" t="inlineStr">
        <is>
          <t>SURAHAMMAR</t>
        </is>
      </c>
      <c r="G38" t="n">
        <v>0.8</v>
      </c>
      <c r="H38" t="n">
        <v>1</v>
      </c>
      <c r="I38" t="n">
        <v>1</v>
      </c>
      <c r="J38" t="n">
        <v>1</v>
      </c>
      <c r="K38" t="n">
        <v>0</v>
      </c>
      <c r="L38" t="n">
        <v>0</v>
      </c>
      <c r="M38" t="n">
        <v>0</v>
      </c>
      <c r="N38" t="n">
        <v>0</v>
      </c>
      <c r="O38" t="n">
        <v>1</v>
      </c>
      <c r="P38" t="n">
        <v>0</v>
      </c>
      <c r="Q38" t="n">
        <v>3</v>
      </c>
      <c r="R38" s="2" t="inlineStr">
        <is>
          <t>Ljusskivig lerskivling
Hasselticka
Blåsippa</t>
        </is>
      </c>
      <c r="S38">
        <f>HYPERLINK("https://klasma.github.io/Logging_1907/artfynd/A 59550-2020 artfynd.xlsx", "A 59550-2020")</f>
        <v/>
      </c>
      <c r="T38">
        <f>HYPERLINK("https://klasma.github.io/Logging_1907/kartor/A 59550-2020 karta.png", "A 59550-2020")</f>
        <v/>
      </c>
      <c r="V38">
        <f>HYPERLINK("https://klasma.github.io/Logging_1907/klagomål/A 59550-2020 FSC-klagomål.docx", "A 59550-2020")</f>
        <v/>
      </c>
      <c r="W38">
        <f>HYPERLINK("https://klasma.github.io/Logging_1907/klagomålsmail/A 59550-2020 FSC-klagomål mail.docx", "A 59550-2020")</f>
        <v/>
      </c>
      <c r="X38">
        <f>HYPERLINK("https://klasma.github.io/Logging_1907/tillsyn/A 59550-2020 tillsynsbegäran.docx", "A 59550-2020")</f>
        <v/>
      </c>
      <c r="Y38">
        <f>HYPERLINK("https://klasma.github.io/Logging_1907/tillsynsmail/A 59550-2020 tillsynsbegäran mail.docx", "A 59550-2020")</f>
        <v/>
      </c>
    </row>
    <row r="39" ht="15" customHeight="1">
      <c r="A39" t="inlineStr">
        <is>
          <t>A 38200-2021</t>
        </is>
      </c>
      <c r="B39" s="1" t="n">
        <v>44405</v>
      </c>
      <c r="C39" s="1" t="n">
        <v>45732</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8552-2022</t>
        </is>
      </c>
      <c r="B40" s="1" t="n">
        <v>44613</v>
      </c>
      <c r="C40" s="1" t="n">
        <v>45732</v>
      </c>
      <c r="D40" t="inlineStr">
        <is>
          <t>VÄSTMANLANDS LÄN</t>
        </is>
      </c>
      <c r="E40" t="inlineStr">
        <is>
          <t>SURAHAMMAR</t>
        </is>
      </c>
      <c r="F40" t="inlineStr">
        <is>
          <t>Bergvik skog väst AB</t>
        </is>
      </c>
      <c r="G40" t="n">
        <v>3.2</v>
      </c>
      <c r="H40" t="n">
        <v>2</v>
      </c>
      <c r="I40" t="n">
        <v>1</v>
      </c>
      <c r="J40" t="n">
        <v>2</v>
      </c>
      <c r="K40" t="n">
        <v>0</v>
      </c>
      <c r="L40" t="n">
        <v>0</v>
      </c>
      <c r="M40" t="n">
        <v>0</v>
      </c>
      <c r="N40" t="n">
        <v>0</v>
      </c>
      <c r="O40" t="n">
        <v>2</v>
      </c>
      <c r="P40" t="n">
        <v>0</v>
      </c>
      <c r="Q40" t="n">
        <v>3</v>
      </c>
      <c r="R40" s="2" t="inlineStr">
        <is>
          <t>Spillkråka
Talltita
Mindre märgborre</t>
        </is>
      </c>
      <c r="S40">
        <f>HYPERLINK("https://klasma.github.io/Logging_1907/artfynd/A 8552-2022 artfynd.xlsx", "A 8552-2022")</f>
        <v/>
      </c>
      <c r="T40">
        <f>HYPERLINK("https://klasma.github.io/Logging_1907/kartor/A 8552-2022 karta.png", "A 8552-2022")</f>
        <v/>
      </c>
      <c r="V40">
        <f>HYPERLINK("https://klasma.github.io/Logging_1907/klagomål/A 8552-2022 FSC-klagomål.docx", "A 8552-2022")</f>
        <v/>
      </c>
      <c r="W40">
        <f>HYPERLINK("https://klasma.github.io/Logging_1907/klagomålsmail/A 8552-2022 FSC-klagomål mail.docx", "A 8552-2022")</f>
        <v/>
      </c>
      <c r="X40">
        <f>HYPERLINK("https://klasma.github.io/Logging_1907/tillsyn/A 8552-2022 tillsynsbegäran.docx", "A 8552-2022")</f>
        <v/>
      </c>
      <c r="Y40">
        <f>HYPERLINK("https://klasma.github.io/Logging_1907/tillsynsmail/A 8552-2022 tillsynsbegäran mail.docx", "A 8552-2022")</f>
        <v/>
      </c>
      <c r="Z40">
        <f>HYPERLINK("https://klasma.github.io/Logging_1907/fåglar/A 8552-2022 prioriterade fågelarter.docx", "A 8552-2022")</f>
        <v/>
      </c>
    </row>
    <row r="41" ht="15" customHeight="1">
      <c r="A41" t="inlineStr">
        <is>
          <t>A 42708-2022</t>
        </is>
      </c>
      <c r="B41" s="1" t="n">
        <v>44832</v>
      </c>
      <c r="C41" s="1" t="n">
        <v>45732</v>
      </c>
      <c r="D41" t="inlineStr">
        <is>
          <t>VÄSTMANLANDS LÄN</t>
        </is>
      </c>
      <c r="E41" t="inlineStr">
        <is>
          <t>SURAHAMMAR</t>
        </is>
      </c>
      <c r="G41" t="n">
        <v>27.2</v>
      </c>
      <c r="H41" t="n">
        <v>3</v>
      </c>
      <c r="I41" t="n">
        <v>0</v>
      </c>
      <c r="J41" t="n">
        <v>2</v>
      </c>
      <c r="K41" t="n">
        <v>0</v>
      </c>
      <c r="L41" t="n">
        <v>0</v>
      </c>
      <c r="M41" t="n">
        <v>0</v>
      </c>
      <c r="N41" t="n">
        <v>0</v>
      </c>
      <c r="O41" t="n">
        <v>2</v>
      </c>
      <c r="P41" t="n">
        <v>0</v>
      </c>
      <c r="Q41" t="n">
        <v>3</v>
      </c>
      <c r="R41" s="2" t="inlineStr">
        <is>
          <t>Entita
Spillkråka
Blåsippa</t>
        </is>
      </c>
      <c r="S41">
        <f>HYPERLINK("https://klasma.github.io/Logging_1907/artfynd/A 42708-2022 artfynd.xlsx", "A 42708-2022")</f>
        <v/>
      </c>
      <c r="T41">
        <f>HYPERLINK("https://klasma.github.io/Logging_1907/kartor/A 42708-2022 karta.png", "A 42708-2022")</f>
        <v/>
      </c>
      <c r="V41">
        <f>HYPERLINK("https://klasma.github.io/Logging_1907/klagomål/A 42708-2022 FSC-klagomål.docx", "A 42708-2022")</f>
        <v/>
      </c>
      <c r="W41">
        <f>HYPERLINK("https://klasma.github.io/Logging_1907/klagomålsmail/A 42708-2022 FSC-klagomål mail.docx", "A 42708-2022")</f>
        <v/>
      </c>
      <c r="X41">
        <f>HYPERLINK("https://klasma.github.io/Logging_1907/tillsyn/A 42708-2022 tillsynsbegäran.docx", "A 42708-2022")</f>
        <v/>
      </c>
      <c r="Y41">
        <f>HYPERLINK("https://klasma.github.io/Logging_1907/tillsynsmail/A 42708-2022 tillsynsbegäran mail.docx", "A 42708-2022")</f>
        <v/>
      </c>
      <c r="Z41">
        <f>HYPERLINK("https://klasma.github.io/Logging_1907/fåglar/A 42708-2022 prioriterade fågelarter.docx", "A 42708-2022")</f>
        <v/>
      </c>
    </row>
    <row r="42" ht="15" customHeight="1">
      <c r="A42" t="inlineStr">
        <is>
          <t>A 42853-2022</t>
        </is>
      </c>
      <c r="B42" s="1" t="n">
        <v>44832</v>
      </c>
      <c r="C42" s="1" t="n">
        <v>45732</v>
      </c>
      <c r="D42" t="inlineStr">
        <is>
          <t>VÄSTMANLANDS LÄN</t>
        </is>
      </c>
      <c r="E42" t="inlineStr">
        <is>
          <t>SURAHAMMAR</t>
        </is>
      </c>
      <c r="G42" t="n">
        <v>7.4</v>
      </c>
      <c r="H42" t="n">
        <v>1</v>
      </c>
      <c r="I42" t="n">
        <v>1</v>
      </c>
      <c r="J42" t="n">
        <v>1</v>
      </c>
      <c r="K42" t="n">
        <v>0</v>
      </c>
      <c r="L42" t="n">
        <v>1</v>
      </c>
      <c r="M42" t="n">
        <v>0</v>
      </c>
      <c r="N42" t="n">
        <v>0</v>
      </c>
      <c r="O42" t="n">
        <v>2</v>
      </c>
      <c r="P42" t="n">
        <v>1</v>
      </c>
      <c r="Q42" t="n">
        <v>3</v>
      </c>
      <c r="R42" s="2" t="inlineStr">
        <is>
          <t>Ask
Kandelabersvamp
Tvåblad</t>
        </is>
      </c>
      <c r="S42">
        <f>HYPERLINK("https://klasma.github.io/Logging_1907/artfynd/A 42853-2022 artfynd.xlsx", "A 42853-2022")</f>
        <v/>
      </c>
      <c r="T42">
        <f>HYPERLINK("https://klasma.github.io/Logging_1907/kartor/A 42853-2022 karta.png", "A 42853-2022")</f>
        <v/>
      </c>
      <c r="V42">
        <f>HYPERLINK("https://klasma.github.io/Logging_1907/klagomål/A 42853-2022 FSC-klagomål.docx", "A 42853-2022")</f>
        <v/>
      </c>
      <c r="W42">
        <f>HYPERLINK("https://klasma.github.io/Logging_1907/klagomålsmail/A 42853-2022 FSC-klagomål mail.docx", "A 42853-2022")</f>
        <v/>
      </c>
      <c r="X42">
        <f>HYPERLINK("https://klasma.github.io/Logging_1907/tillsyn/A 42853-2022 tillsynsbegäran.docx", "A 42853-2022")</f>
        <v/>
      </c>
      <c r="Y42">
        <f>HYPERLINK("https://klasma.github.io/Logging_1907/tillsynsmail/A 42853-2022 tillsynsbegäran mail.docx", "A 42853-2022")</f>
        <v/>
      </c>
    </row>
    <row r="43" ht="15" customHeight="1">
      <c r="A43" t="inlineStr">
        <is>
          <t>A 42860-2022</t>
        </is>
      </c>
      <c r="B43" s="1" t="n">
        <v>44832</v>
      </c>
      <c r="C43" s="1" t="n">
        <v>45732</v>
      </c>
      <c r="D43" t="inlineStr">
        <is>
          <t>VÄSTMANLANDS LÄN</t>
        </is>
      </c>
      <c r="E43" t="inlineStr">
        <is>
          <t>SURAHAMMAR</t>
        </is>
      </c>
      <c r="G43" t="n">
        <v>0.9</v>
      </c>
      <c r="H43" t="n">
        <v>0</v>
      </c>
      <c r="I43" t="n">
        <v>1</v>
      </c>
      <c r="J43" t="n">
        <v>0</v>
      </c>
      <c r="K43" t="n">
        <v>0</v>
      </c>
      <c r="L43" t="n">
        <v>1</v>
      </c>
      <c r="M43" t="n">
        <v>1</v>
      </c>
      <c r="N43" t="n">
        <v>0</v>
      </c>
      <c r="O43" t="n">
        <v>2</v>
      </c>
      <c r="P43" t="n">
        <v>2</v>
      </c>
      <c r="Q43" t="n">
        <v>3</v>
      </c>
      <c r="R43" s="2" t="inlineStr">
        <is>
          <t>Skogsalm
Ask
Scharlakansvårskål agg.</t>
        </is>
      </c>
      <c r="S43">
        <f>HYPERLINK("https://klasma.github.io/Logging_1907/artfynd/A 42860-2022 artfynd.xlsx", "A 42860-2022")</f>
        <v/>
      </c>
      <c r="T43">
        <f>HYPERLINK("https://klasma.github.io/Logging_1907/kartor/A 42860-2022 karta.png", "A 42860-2022")</f>
        <v/>
      </c>
      <c r="V43">
        <f>HYPERLINK("https://klasma.github.io/Logging_1907/klagomål/A 42860-2022 FSC-klagomål.docx", "A 42860-2022")</f>
        <v/>
      </c>
      <c r="W43">
        <f>HYPERLINK("https://klasma.github.io/Logging_1907/klagomålsmail/A 42860-2022 FSC-klagomål mail.docx", "A 42860-2022")</f>
        <v/>
      </c>
      <c r="X43">
        <f>HYPERLINK("https://klasma.github.io/Logging_1907/tillsyn/A 42860-2022 tillsynsbegäran.docx", "A 42860-2022")</f>
        <v/>
      </c>
      <c r="Y43">
        <f>HYPERLINK("https://klasma.github.io/Logging_1907/tillsynsmail/A 42860-2022 tillsynsbegäran mail.docx", "A 42860-2022")</f>
        <v/>
      </c>
    </row>
    <row r="44" ht="15" customHeight="1">
      <c r="A44" t="inlineStr">
        <is>
          <t>A 3012-2023</t>
        </is>
      </c>
      <c r="B44" s="1" t="n">
        <v>44945</v>
      </c>
      <c r="C44" s="1" t="n">
        <v>45732</v>
      </c>
      <c r="D44" t="inlineStr">
        <is>
          <t>VÄSTMANLANDS LÄN</t>
        </is>
      </c>
      <c r="E44" t="inlineStr">
        <is>
          <t>SURAHAMMAR</t>
        </is>
      </c>
      <c r="F44" t="inlineStr">
        <is>
          <t>Sveaskog</t>
        </is>
      </c>
      <c r="G44" t="n">
        <v>5.7</v>
      </c>
      <c r="H44" t="n">
        <v>0</v>
      </c>
      <c r="I44" t="n">
        <v>1</v>
      </c>
      <c r="J44" t="n">
        <v>0</v>
      </c>
      <c r="K44" t="n">
        <v>0</v>
      </c>
      <c r="L44" t="n">
        <v>1</v>
      </c>
      <c r="M44" t="n">
        <v>1</v>
      </c>
      <c r="N44" t="n">
        <v>0</v>
      </c>
      <c r="O44" t="n">
        <v>2</v>
      </c>
      <c r="P44" t="n">
        <v>2</v>
      </c>
      <c r="Q44" t="n">
        <v>3</v>
      </c>
      <c r="R44" s="2" t="inlineStr">
        <is>
          <t>Skogsalm
Ask
Svart trolldruva</t>
        </is>
      </c>
      <c r="S44">
        <f>HYPERLINK("https://klasma.github.io/Logging_1907/artfynd/A 3012-2023 artfynd.xlsx", "A 3012-2023")</f>
        <v/>
      </c>
      <c r="T44">
        <f>HYPERLINK("https://klasma.github.io/Logging_1907/kartor/A 3012-2023 karta.png", "A 3012-2023")</f>
        <v/>
      </c>
      <c r="V44">
        <f>HYPERLINK("https://klasma.github.io/Logging_1907/klagomål/A 3012-2023 FSC-klagomål.docx", "A 3012-2023")</f>
        <v/>
      </c>
      <c r="W44">
        <f>HYPERLINK("https://klasma.github.io/Logging_1907/klagomålsmail/A 3012-2023 FSC-klagomål mail.docx", "A 3012-2023")</f>
        <v/>
      </c>
      <c r="X44">
        <f>HYPERLINK("https://klasma.github.io/Logging_1907/tillsyn/A 3012-2023 tillsynsbegäran.docx", "A 3012-2023")</f>
        <v/>
      </c>
      <c r="Y44">
        <f>HYPERLINK("https://klasma.github.io/Logging_1907/tillsynsmail/A 3012-2023 tillsynsbegäran mail.docx", "A 3012-2023")</f>
        <v/>
      </c>
    </row>
    <row r="45" ht="15" customHeight="1">
      <c r="A45" t="inlineStr">
        <is>
          <t>A 14587-2023</t>
        </is>
      </c>
      <c r="B45" s="1" t="n">
        <v>45013</v>
      </c>
      <c r="C45" s="1" t="n">
        <v>45732</v>
      </c>
      <c r="D45" t="inlineStr">
        <is>
          <t>VÄSTMANLANDS LÄN</t>
        </is>
      </c>
      <c r="E45" t="inlineStr">
        <is>
          <t>SURAHAMMAR</t>
        </is>
      </c>
      <c r="G45" t="n">
        <v>14.8</v>
      </c>
      <c r="H45" t="n">
        <v>1</v>
      </c>
      <c r="I45" t="n">
        <v>1</v>
      </c>
      <c r="J45" t="n">
        <v>1</v>
      </c>
      <c r="K45" t="n">
        <v>0</v>
      </c>
      <c r="L45" t="n">
        <v>0</v>
      </c>
      <c r="M45" t="n">
        <v>0</v>
      </c>
      <c r="N45" t="n">
        <v>0</v>
      </c>
      <c r="O45" t="n">
        <v>1</v>
      </c>
      <c r="P45" t="n">
        <v>0</v>
      </c>
      <c r="Q45" t="n">
        <v>3</v>
      </c>
      <c r="R45" s="2" t="inlineStr">
        <is>
          <t>Skogshare
Vedticka
Mattlummer</t>
        </is>
      </c>
      <c r="S45">
        <f>HYPERLINK("https://klasma.github.io/Logging_1907/artfynd/A 14587-2023 artfynd.xlsx", "A 14587-2023")</f>
        <v/>
      </c>
      <c r="T45">
        <f>HYPERLINK("https://klasma.github.io/Logging_1907/kartor/A 14587-2023 karta.png", "A 14587-2023")</f>
        <v/>
      </c>
      <c r="V45">
        <f>HYPERLINK("https://klasma.github.io/Logging_1907/klagomål/A 14587-2023 FSC-klagomål.docx", "A 14587-2023")</f>
        <v/>
      </c>
      <c r="W45">
        <f>HYPERLINK("https://klasma.github.io/Logging_1907/klagomålsmail/A 14587-2023 FSC-klagomål mail.docx", "A 14587-2023")</f>
        <v/>
      </c>
      <c r="X45">
        <f>HYPERLINK("https://klasma.github.io/Logging_1907/tillsyn/A 14587-2023 tillsynsbegäran.docx", "A 14587-2023")</f>
        <v/>
      </c>
      <c r="Y45">
        <f>HYPERLINK("https://klasma.github.io/Logging_1907/tillsynsmail/A 14587-2023 tillsynsbegäran mail.docx", "A 14587-2023")</f>
        <v/>
      </c>
    </row>
    <row r="46" ht="15" customHeight="1">
      <c r="A46" t="inlineStr">
        <is>
          <t>A 23734-2023</t>
        </is>
      </c>
      <c r="B46" s="1" t="n">
        <v>45077</v>
      </c>
      <c r="C46" s="1" t="n">
        <v>45732</v>
      </c>
      <c r="D46" t="inlineStr">
        <is>
          <t>VÄSTMANLANDS LÄN</t>
        </is>
      </c>
      <c r="E46" t="inlineStr">
        <is>
          <t>SURAHAMMAR</t>
        </is>
      </c>
      <c r="F46" t="inlineStr">
        <is>
          <t>Sveaskog</t>
        </is>
      </c>
      <c r="G46" t="n">
        <v>6.7</v>
      </c>
      <c r="H46" t="n">
        <v>1</v>
      </c>
      <c r="I46" t="n">
        <v>0</v>
      </c>
      <c r="J46" t="n">
        <v>2</v>
      </c>
      <c r="K46" t="n">
        <v>1</v>
      </c>
      <c r="L46" t="n">
        <v>0</v>
      </c>
      <c r="M46" t="n">
        <v>0</v>
      </c>
      <c r="N46" t="n">
        <v>0</v>
      </c>
      <c r="O46" t="n">
        <v>3</v>
      </c>
      <c r="P46" t="n">
        <v>1</v>
      </c>
      <c r="Q46" t="n">
        <v>3</v>
      </c>
      <c r="R46" s="2" t="inlineStr">
        <is>
          <t>Hängticka
Björktrast
Kandelabersvamp</t>
        </is>
      </c>
      <c r="S46">
        <f>HYPERLINK("https://klasma.github.io/Logging_1907/artfynd/A 23734-2023 artfynd.xlsx", "A 23734-2023")</f>
        <v/>
      </c>
      <c r="T46">
        <f>HYPERLINK("https://klasma.github.io/Logging_1907/kartor/A 23734-2023 karta.png", "A 23734-2023")</f>
        <v/>
      </c>
      <c r="V46">
        <f>HYPERLINK("https://klasma.github.io/Logging_1907/klagomål/A 23734-2023 FSC-klagomål.docx", "A 23734-2023")</f>
        <v/>
      </c>
      <c r="W46">
        <f>HYPERLINK("https://klasma.github.io/Logging_1907/klagomålsmail/A 23734-2023 FSC-klagomål mail.docx", "A 23734-2023")</f>
        <v/>
      </c>
      <c r="X46">
        <f>HYPERLINK("https://klasma.github.io/Logging_1907/tillsyn/A 23734-2023 tillsynsbegäran.docx", "A 23734-2023")</f>
        <v/>
      </c>
      <c r="Y46">
        <f>HYPERLINK("https://klasma.github.io/Logging_1907/tillsynsmail/A 23734-2023 tillsynsbegäran mail.docx", "A 23734-2023")</f>
        <v/>
      </c>
      <c r="Z46">
        <f>HYPERLINK("https://klasma.github.io/Logging_1907/fåglar/A 23734-2023 prioriterade fågelarter.docx", "A 23734-2023")</f>
        <v/>
      </c>
    </row>
    <row r="47" ht="15" customHeight="1">
      <c r="A47" t="inlineStr">
        <is>
          <t>A 24222-2023</t>
        </is>
      </c>
      <c r="B47" s="1" t="n">
        <v>45079</v>
      </c>
      <c r="C47" s="1" t="n">
        <v>45732</v>
      </c>
      <c r="D47" t="inlineStr">
        <is>
          <t>VÄSTMANLANDS LÄN</t>
        </is>
      </c>
      <c r="E47" t="inlineStr">
        <is>
          <t>SURAHAMMAR</t>
        </is>
      </c>
      <c r="F47" t="inlineStr">
        <is>
          <t>Sveaskog</t>
        </is>
      </c>
      <c r="G47" t="n">
        <v>9.699999999999999</v>
      </c>
      <c r="H47" t="n">
        <v>1</v>
      </c>
      <c r="I47" t="n">
        <v>1</v>
      </c>
      <c r="J47" t="n">
        <v>1</v>
      </c>
      <c r="K47" t="n">
        <v>0</v>
      </c>
      <c r="L47" t="n">
        <v>0</v>
      </c>
      <c r="M47" t="n">
        <v>0</v>
      </c>
      <c r="N47" t="n">
        <v>0</v>
      </c>
      <c r="O47" t="n">
        <v>1</v>
      </c>
      <c r="P47" t="n">
        <v>0</v>
      </c>
      <c r="Q47" t="n">
        <v>3</v>
      </c>
      <c r="R47" s="2" t="inlineStr">
        <is>
          <t>Svinrot
Blodticka
Revlummer</t>
        </is>
      </c>
      <c r="S47">
        <f>HYPERLINK("https://klasma.github.io/Logging_1907/artfynd/A 24222-2023 artfynd.xlsx", "A 24222-2023")</f>
        <v/>
      </c>
      <c r="T47">
        <f>HYPERLINK("https://klasma.github.io/Logging_1907/kartor/A 24222-2023 karta.png", "A 24222-2023")</f>
        <v/>
      </c>
      <c r="V47">
        <f>HYPERLINK("https://klasma.github.io/Logging_1907/klagomål/A 24222-2023 FSC-klagomål.docx", "A 24222-2023")</f>
        <v/>
      </c>
      <c r="W47">
        <f>HYPERLINK("https://klasma.github.io/Logging_1907/klagomålsmail/A 24222-2023 FSC-klagomål mail.docx", "A 24222-2023")</f>
        <v/>
      </c>
      <c r="X47">
        <f>HYPERLINK("https://klasma.github.io/Logging_1907/tillsyn/A 24222-2023 tillsynsbegäran.docx", "A 24222-2023")</f>
        <v/>
      </c>
      <c r="Y47">
        <f>HYPERLINK("https://klasma.github.io/Logging_1907/tillsynsmail/A 24222-2023 tillsynsbegäran mail.docx", "A 24222-2023")</f>
        <v/>
      </c>
    </row>
    <row r="48" ht="15" customHeight="1">
      <c r="A48" t="inlineStr">
        <is>
          <t>A 48128-2023</t>
        </is>
      </c>
      <c r="B48" s="1" t="n">
        <v>45205</v>
      </c>
      <c r="C48" s="1" t="n">
        <v>45732</v>
      </c>
      <c r="D48" t="inlineStr">
        <is>
          <t>VÄSTMANLANDS LÄN</t>
        </is>
      </c>
      <c r="E48" t="inlineStr">
        <is>
          <t>SURAHAMMAR</t>
        </is>
      </c>
      <c r="F48" t="inlineStr">
        <is>
          <t>Allmännings- och besparingsskogar</t>
        </is>
      </c>
      <c r="G48" t="n">
        <v>11.8</v>
      </c>
      <c r="H48" t="n">
        <v>0</v>
      </c>
      <c r="I48" t="n">
        <v>2</v>
      </c>
      <c r="J48" t="n">
        <v>1</v>
      </c>
      <c r="K48" t="n">
        <v>0</v>
      </c>
      <c r="L48" t="n">
        <v>0</v>
      </c>
      <c r="M48" t="n">
        <v>0</v>
      </c>
      <c r="N48" t="n">
        <v>0</v>
      </c>
      <c r="O48" t="n">
        <v>1</v>
      </c>
      <c r="P48" t="n">
        <v>0</v>
      </c>
      <c r="Q48" t="n">
        <v>3</v>
      </c>
      <c r="R48" s="2" t="inlineStr">
        <is>
          <t>Svinrot
Blodticka
Vedticka</t>
        </is>
      </c>
      <c r="S48">
        <f>HYPERLINK("https://klasma.github.io/Logging_1907/artfynd/A 48128-2023 artfynd.xlsx", "A 48128-2023")</f>
        <v/>
      </c>
      <c r="T48">
        <f>HYPERLINK("https://klasma.github.io/Logging_1907/kartor/A 48128-2023 karta.png", "A 48128-2023")</f>
        <v/>
      </c>
      <c r="V48">
        <f>HYPERLINK("https://klasma.github.io/Logging_1907/klagomål/A 48128-2023 FSC-klagomål.docx", "A 48128-2023")</f>
        <v/>
      </c>
      <c r="W48">
        <f>HYPERLINK("https://klasma.github.io/Logging_1907/klagomålsmail/A 48128-2023 FSC-klagomål mail.docx", "A 48128-2023")</f>
        <v/>
      </c>
      <c r="X48">
        <f>HYPERLINK("https://klasma.github.io/Logging_1907/tillsyn/A 48128-2023 tillsynsbegäran.docx", "A 48128-2023")</f>
        <v/>
      </c>
      <c r="Y48">
        <f>HYPERLINK("https://klasma.github.io/Logging_1907/tillsynsmail/A 48128-2023 tillsynsbegäran mail.docx", "A 48128-2023")</f>
        <v/>
      </c>
    </row>
    <row r="49" ht="15" customHeight="1">
      <c r="A49" t="inlineStr">
        <is>
          <t>A 49718-2023</t>
        </is>
      </c>
      <c r="B49" s="1" t="n">
        <v>45212</v>
      </c>
      <c r="C49" s="1" t="n">
        <v>45732</v>
      </c>
      <c r="D49" t="inlineStr">
        <is>
          <t>VÄSTMANLANDS LÄN</t>
        </is>
      </c>
      <c r="E49" t="inlineStr">
        <is>
          <t>SURAHAMMAR</t>
        </is>
      </c>
      <c r="G49" t="n">
        <v>3.4</v>
      </c>
      <c r="H49" t="n">
        <v>1</v>
      </c>
      <c r="I49" t="n">
        <v>1</v>
      </c>
      <c r="J49" t="n">
        <v>2</v>
      </c>
      <c r="K49" t="n">
        <v>0</v>
      </c>
      <c r="L49" t="n">
        <v>0</v>
      </c>
      <c r="M49" t="n">
        <v>0</v>
      </c>
      <c r="N49" t="n">
        <v>0</v>
      </c>
      <c r="O49" t="n">
        <v>2</v>
      </c>
      <c r="P49" t="n">
        <v>0</v>
      </c>
      <c r="Q49" t="n">
        <v>3</v>
      </c>
      <c r="R49" s="2" t="inlineStr">
        <is>
          <t>Motaggsvamp
Talltita
Zontaggsvamp</t>
        </is>
      </c>
      <c r="S49">
        <f>HYPERLINK("https://klasma.github.io/Logging_1907/artfynd/A 49718-2023 artfynd.xlsx", "A 49718-2023")</f>
        <v/>
      </c>
      <c r="T49">
        <f>HYPERLINK("https://klasma.github.io/Logging_1907/kartor/A 49718-2023 karta.png", "A 49718-2023")</f>
        <v/>
      </c>
      <c r="V49">
        <f>HYPERLINK("https://klasma.github.io/Logging_1907/klagomål/A 49718-2023 FSC-klagomål.docx", "A 49718-2023")</f>
        <v/>
      </c>
      <c r="W49">
        <f>HYPERLINK("https://klasma.github.io/Logging_1907/klagomålsmail/A 49718-2023 FSC-klagomål mail.docx", "A 49718-2023")</f>
        <v/>
      </c>
      <c r="X49">
        <f>HYPERLINK("https://klasma.github.io/Logging_1907/tillsyn/A 49718-2023 tillsynsbegäran.docx", "A 49718-2023")</f>
        <v/>
      </c>
      <c r="Y49">
        <f>HYPERLINK("https://klasma.github.io/Logging_1907/tillsynsmail/A 49718-2023 tillsynsbegäran mail.docx", "A 49718-2023")</f>
        <v/>
      </c>
      <c r="Z49">
        <f>HYPERLINK("https://klasma.github.io/Logging_1907/fåglar/A 49718-2023 prioriterade fågelarter.docx", "A 49718-2023")</f>
        <v/>
      </c>
    </row>
    <row r="50" ht="15" customHeight="1">
      <c r="A50" t="inlineStr">
        <is>
          <t>A 20391-2024</t>
        </is>
      </c>
      <c r="B50" s="1" t="n">
        <v>45435</v>
      </c>
      <c r="C50" s="1" t="n">
        <v>45732</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45732</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45732</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45732</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45732</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45732</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45732</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45732</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45732</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45732</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45732</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45732</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45732</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45732</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45732</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45732</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45732</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45732</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4082-2025</t>
        </is>
      </c>
      <c r="B68" s="1" t="n">
        <v>45684</v>
      </c>
      <c r="C68" s="1" t="n">
        <v>45732</v>
      </c>
      <c r="D68" t="inlineStr">
        <is>
          <t>VÄSTMANLANDS LÄN</t>
        </is>
      </c>
      <c r="E68" t="inlineStr">
        <is>
          <t>SURAHAMMAR</t>
        </is>
      </c>
      <c r="F68" t="inlineStr">
        <is>
          <t>Bergvik skog väst AB</t>
        </is>
      </c>
      <c r="G68" t="n">
        <v>11.6</v>
      </c>
      <c r="H68" t="n">
        <v>1</v>
      </c>
      <c r="I68" t="n">
        <v>2</v>
      </c>
      <c r="J68" t="n">
        <v>0</v>
      </c>
      <c r="K68" t="n">
        <v>0</v>
      </c>
      <c r="L68" t="n">
        <v>0</v>
      </c>
      <c r="M68" t="n">
        <v>0</v>
      </c>
      <c r="N68" t="n">
        <v>0</v>
      </c>
      <c r="O68" t="n">
        <v>0</v>
      </c>
      <c r="P68" t="n">
        <v>0</v>
      </c>
      <c r="Q68" t="n">
        <v>2</v>
      </c>
      <c r="R68" s="2" t="inlineStr">
        <is>
          <t>Grönpyrola
Plattlummer</t>
        </is>
      </c>
      <c r="S68">
        <f>HYPERLINK("https://klasma.github.io/Logging_1907/artfynd/A 4082-2025 artfynd.xlsx", "A 4082-2025")</f>
        <v/>
      </c>
      <c r="T68">
        <f>HYPERLINK("https://klasma.github.io/Logging_1907/kartor/A 4082-2025 karta.png", "A 4082-2025")</f>
        <v/>
      </c>
      <c r="V68">
        <f>HYPERLINK("https://klasma.github.io/Logging_1907/klagomål/A 4082-2025 FSC-klagomål.docx", "A 4082-2025")</f>
        <v/>
      </c>
      <c r="W68">
        <f>HYPERLINK("https://klasma.github.io/Logging_1907/klagomålsmail/A 4082-2025 FSC-klagomål mail.docx", "A 4082-2025")</f>
        <v/>
      </c>
      <c r="X68">
        <f>HYPERLINK("https://klasma.github.io/Logging_1907/tillsyn/A 4082-2025 tillsynsbegäran.docx", "A 4082-2025")</f>
        <v/>
      </c>
      <c r="Y68">
        <f>HYPERLINK("https://klasma.github.io/Logging_1907/tillsynsmail/A 4082-2025 tillsynsbegäran mail.docx", "A 4082-2025")</f>
        <v/>
      </c>
    </row>
    <row r="69" ht="15" customHeight="1">
      <c r="A69" t="inlineStr">
        <is>
          <t>A 18948-2019</t>
        </is>
      </c>
      <c r="B69" s="1" t="n">
        <v>43563</v>
      </c>
      <c r="C69" s="1" t="n">
        <v>45732</v>
      </c>
      <c r="D69" t="inlineStr">
        <is>
          <t>VÄSTMANLANDS LÄN</t>
        </is>
      </c>
      <c r="E69" t="inlineStr">
        <is>
          <t>SURAHAMMAR</t>
        </is>
      </c>
      <c r="F69" t="inlineStr">
        <is>
          <t>Övriga Aktiebolag</t>
        </is>
      </c>
      <c r="G69" t="n">
        <v>1.9</v>
      </c>
      <c r="H69" t="n">
        <v>0</v>
      </c>
      <c r="I69" t="n">
        <v>0</v>
      </c>
      <c r="J69" t="n">
        <v>0</v>
      </c>
      <c r="K69" t="n">
        <v>0</v>
      </c>
      <c r="L69" t="n">
        <v>1</v>
      </c>
      <c r="M69" t="n">
        <v>0</v>
      </c>
      <c r="N69" t="n">
        <v>0</v>
      </c>
      <c r="O69" t="n">
        <v>1</v>
      </c>
      <c r="P69" t="n">
        <v>1</v>
      </c>
      <c r="Q69" t="n">
        <v>1</v>
      </c>
      <c r="R69" s="2" t="inlineStr">
        <is>
          <t>Ask</t>
        </is>
      </c>
      <c r="S69">
        <f>HYPERLINK("https://klasma.github.io/Logging_1907/artfynd/A 18948-2019 artfynd.xlsx", "A 18948-2019")</f>
        <v/>
      </c>
      <c r="T69">
        <f>HYPERLINK("https://klasma.github.io/Logging_1907/kartor/A 18948-2019 karta.png", "A 18948-2019")</f>
        <v/>
      </c>
      <c r="V69">
        <f>HYPERLINK("https://klasma.github.io/Logging_1907/klagomål/A 18948-2019 FSC-klagomål.docx", "A 18948-2019")</f>
        <v/>
      </c>
      <c r="W69">
        <f>HYPERLINK("https://klasma.github.io/Logging_1907/klagomålsmail/A 18948-2019 FSC-klagomål mail.docx", "A 18948-2019")</f>
        <v/>
      </c>
      <c r="X69">
        <f>HYPERLINK("https://klasma.github.io/Logging_1907/tillsyn/A 18948-2019 tillsynsbegäran.docx", "A 18948-2019")</f>
        <v/>
      </c>
      <c r="Y69">
        <f>HYPERLINK("https://klasma.github.io/Logging_1907/tillsynsmail/A 18948-2019 tillsynsbegäran mail.docx", "A 18948-2019")</f>
        <v/>
      </c>
    </row>
    <row r="70" ht="15" customHeight="1">
      <c r="A70" t="inlineStr">
        <is>
          <t>A 28276-2019</t>
        </is>
      </c>
      <c r="B70" s="1" t="n">
        <v>43623</v>
      </c>
      <c r="C70" s="1" t="n">
        <v>45732</v>
      </c>
      <c r="D70" t="inlineStr">
        <is>
          <t>VÄSTMANLANDS LÄN</t>
        </is>
      </c>
      <c r="E70" t="inlineStr">
        <is>
          <t>SURAHAMMAR</t>
        </is>
      </c>
      <c r="F70" t="inlineStr">
        <is>
          <t>Allmännings- och besparingsskogar</t>
        </is>
      </c>
      <c r="G70" t="n">
        <v>8.4</v>
      </c>
      <c r="H70" t="n">
        <v>0</v>
      </c>
      <c r="I70" t="n">
        <v>0</v>
      </c>
      <c r="J70" t="n">
        <v>1</v>
      </c>
      <c r="K70" t="n">
        <v>0</v>
      </c>
      <c r="L70" t="n">
        <v>0</v>
      </c>
      <c r="M70" t="n">
        <v>0</v>
      </c>
      <c r="N70" t="n">
        <v>0</v>
      </c>
      <c r="O70" t="n">
        <v>1</v>
      </c>
      <c r="P70" t="n">
        <v>0</v>
      </c>
      <c r="Q70" t="n">
        <v>1</v>
      </c>
      <c r="R70" s="2" t="inlineStr">
        <is>
          <t>Hapalopilus aurantiacus</t>
        </is>
      </c>
      <c r="S70">
        <f>HYPERLINK("https://klasma.github.io/Logging_1907/artfynd/A 28276-2019 artfynd.xlsx", "A 28276-2019")</f>
        <v/>
      </c>
      <c r="T70">
        <f>HYPERLINK("https://klasma.github.io/Logging_1907/kartor/A 28276-2019 karta.png", "A 28276-2019")</f>
        <v/>
      </c>
      <c r="V70">
        <f>HYPERLINK("https://klasma.github.io/Logging_1907/klagomål/A 28276-2019 FSC-klagomål.docx", "A 28276-2019")</f>
        <v/>
      </c>
      <c r="W70">
        <f>HYPERLINK("https://klasma.github.io/Logging_1907/klagomålsmail/A 28276-2019 FSC-klagomål mail.docx", "A 28276-2019")</f>
        <v/>
      </c>
      <c r="X70">
        <f>HYPERLINK("https://klasma.github.io/Logging_1907/tillsyn/A 28276-2019 tillsynsbegäran.docx", "A 28276-2019")</f>
        <v/>
      </c>
      <c r="Y70">
        <f>HYPERLINK("https://klasma.github.io/Logging_1907/tillsynsmail/A 28276-2019 tillsynsbegäran mail.docx", "A 28276-2019")</f>
        <v/>
      </c>
    </row>
    <row r="71" ht="15" customHeight="1">
      <c r="A71" t="inlineStr">
        <is>
          <t>A 33879-2019</t>
        </is>
      </c>
      <c r="B71" s="1" t="n">
        <v>43653</v>
      </c>
      <c r="C71" s="1" t="n">
        <v>45732</v>
      </c>
      <c r="D71" t="inlineStr">
        <is>
          <t>VÄSTMANLANDS LÄN</t>
        </is>
      </c>
      <c r="E71" t="inlineStr">
        <is>
          <t>SURAHAMMAR</t>
        </is>
      </c>
      <c r="F71" t="inlineStr">
        <is>
          <t>Kyrkan</t>
        </is>
      </c>
      <c r="G71" t="n">
        <v>1.8</v>
      </c>
      <c r="H71" t="n">
        <v>1</v>
      </c>
      <c r="I71" t="n">
        <v>0</v>
      </c>
      <c r="J71" t="n">
        <v>0</v>
      </c>
      <c r="K71" t="n">
        <v>1</v>
      </c>
      <c r="L71" t="n">
        <v>0</v>
      </c>
      <c r="M71" t="n">
        <v>0</v>
      </c>
      <c r="N71" t="n">
        <v>0</v>
      </c>
      <c r="O71" t="n">
        <v>1</v>
      </c>
      <c r="P71" t="n">
        <v>1</v>
      </c>
      <c r="Q71" t="n">
        <v>1</v>
      </c>
      <c r="R71" s="2" t="inlineStr">
        <is>
          <t>Bombmurkla</t>
        </is>
      </c>
      <c r="S71">
        <f>HYPERLINK("https://klasma.github.io/Logging_1907/artfynd/A 33879-2019 artfynd.xlsx", "A 33879-2019")</f>
        <v/>
      </c>
      <c r="T71">
        <f>HYPERLINK("https://klasma.github.io/Logging_1907/kartor/A 33879-2019 karta.png", "A 33879-2019")</f>
        <v/>
      </c>
      <c r="V71">
        <f>HYPERLINK("https://klasma.github.io/Logging_1907/klagomål/A 33879-2019 FSC-klagomål.docx", "A 33879-2019")</f>
        <v/>
      </c>
      <c r="W71">
        <f>HYPERLINK("https://klasma.github.io/Logging_1907/klagomålsmail/A 33879-2019 FSC-klagomål mail.docx", "A 33879-2019")</f>
        <v/>
      </c>
      <c r="X71">
        <f>HYPERLINK("https://klasma.github.io/Logging_1907/tillsyn/A 33879-2019 tillsynsbegäran.docx", "A 33879-2019")</f>
        <v/>
      </c>
      <c r="Y71">
        <f>HYPERLINK("https://klasma.github.io/Logging_1907/tillsynsmail/A 33879-2019 tillsynsbegäran mail.docx", "A 33879-2019")</f>
        <v/>
      </c>
    </row>
    <row r="72" ht="15" customHeight="1">
      <c r="A72" t="inlineStr">
        <is>
          <t>A 39755-2019</t>
        </is>
      </c>
      <c r="B72" s="1" t="n">
        <v>43692</v>
      </c>
      <c r="C72" s="1" t="n">
        <v>45732</v>
      </c>
      <c r="D72" t="inlineStr">
        <is>
          <t>VÄSTMANLANDS LÄN</t>
        </is>
      </c>
      <c r="E72" t="inlineStr">
        <is>
          <t>SURAHAMMAR</t>
        </is>
      </c>
      <c r="F72" t="inlineStr">
        <is>
          <t>Övriga Aktiebolag</t>
        </is>
      </c>
      <c r="G72" t="n">
        <v>11.8</v>
      </c>
      <c r="H72" t="n">
        <v>1</v>
      </c>
      <c r="I72" t="n">
        <v>0</v>
      </c>
      <c r="J72" t="n">
        <v>0</v>
      </c>
      <c r="K72" t="n">
        <v>0</v>
      </c>
      <c r="L72" t="n">
        <v>0</v>
      </c>
      <c r="M72" t="n">
        <v>0</v>
      </c>
      <c r="N72" t="n">
        <v>0</v>
      </c>
      <c r="O72" t="n">
        <v>0</v>
      </c>
      <c r="P72" t="n">
        <v>0</v>
      </c>
      <c r="Q72" t="n">
        <v>1</v>
      </c>
      <c r="R72" s="2" t="inlineStr">
        <is>
          <t>Kopparödla</t>
        </is>
      </c>
      <c r="S72">
        <f>HYPERLINK("https://klasma.github.io/Logging_1907/artfynd/A 39755-2019 artfynd.xlsx", "A 39755-2019")</f>
        <v/>
      </c>
      <c r="T72">
        <f>HYPERLINK("https://klasma.github.io/Logging_1907/kartor/A 39755-2019 karta.png", "A 39755-2019")</f>
        <v/>
      </c>
      <c r="V72">
        <f>HYPERLINK("https://klasma.github.io/Logging_1907/klagomål/A 39755-2019 FSC-klagomål.docx", "A 39755-2019")</f>
        <v/>
      </c>
      <c r="W72">
        <f>HYPERLINK("https://klasma.github.io/Logging_1907/klagomålsmail/A 39755-2019 FSC-klagomål mail.docx", "A 39755-2019")</f>
        <v/>
      </c>
      <c r="X72">
        <f>HYPERLINK("https://klasma.github.io/Logging_1907/tillsyn/A 39755-2019 tillsynsbegäran.docx", "A 39755-2019")</f>
        <v/>
      </c>
      <c r="Y72">
        <f>HYPERLINK("https://klasma.github.io/Logging_1907/tillsynsmail/A 39755-2019 tillsynsbegäran mail.docx", "A 39755-2019")</f>
        <v/>
      </c>
    </row>
    <row r="73" ht="15" customHeight="1">
      <c r="A73" t="inlineStr">
        <is>
          <t>A 6514-2020</t>
        </is>
      </c>
      <c r="B73" s="1" t="n">
        <v>43867</v>
      </c>
      <c r="C73" s="1" t="n">
        <v>45732</v>
      </c>
      <c r="D73" t="inlineStr">
        <is>
          <t>VÄSTMANLANDS LÄN</t>
        </is>
      </c>
      <c r="E73" t="inlineStr">
        <is>
          <t>SURAHAMMAR</t>
        </is>
      </c>
      <c r="G73" t="n">
        <v>2.2</v>
      </c>
      <c r="H73" t="n">
        <v>1</v>
      </c>
      <c r="I73" t="n">
        <v>0</v>
      </c>
      <c r="J73" t="n">
        <v>0</v>
      </c>
      <c r="K73" t="n">
        <v>1</v>
      </c>
      <c r="L73" t="n">
        <v>0</v>
      </c>
      <c r="M73" t="n">
        <v>0</v>
      </c>
      <c r="N73" t="n">
        <v>0</v>
      </c>
      <c r="O73" t="n">
        <v>1</v>
      </c>
      <c r="P73" t="n">
        <v>1</v>
      </c>
      <c r="Q73" t="n">
        <v>1</v>
      </c>
      <c r="R73" s="2" t="inlineStr">
        <is>
          <t>Bombmurkla</t>
        </is>
      </c>
      <c r="S73">
        <f>HYPERLINK("https://klasma.github.io/Logging_1907/artfynd/A 6514-2020 artfynd.xlsx", "A 6514-2020")</f>
        <v/>
      </c>
      <c r="T73">
        <f>HYPERLINK("https://klasma.github.io/Logging_1907/kartor/A 6514-2020 karta.png", "A 6514-2020")</f>
        <v/>
      </c>
      <c r="V73">
        <f>HYPERLINK("https://klasma.github.io/Logging_1907/klagomål/A 6514-2020 FSC-klagomål.docx", "A 6514-2020")</f>
        <v/>
      </c>
      <c r="W73">
        <f>HYPERLINK("https://klasma.github.io/Logging_1907/klagomålsmail/A 6514-2020 FSC-klagomål mail.docx", "A 6514-2020")</f>
        <v/>
      </c>
      <c r="X73">
        <f>HYPERLINK("https://klasma.github.io/Logging_1907/tillsyn/A 6514-2020 tillsynsbegäran.docx", "A 6514-2020")</f>
        <v/>
      </c>
      <c r="Y73">
        <f>HYPERLINK("https://klasma.github.io/Logging_1907/tillsynsmail/A 6514-2020 tillsynsbegäran mail.docx", "A 6514-2020")</f>
        <v/>
      </c>
    </row>
    <row r="74" ht="15" customHeight="1">
      <c r="A74" t="inlineStr">
        <is>
          <t>A 18717-2021</t>
        </is>
      </c>
      <c r="B74" s="1" t="n">
        <v>44306</v>
      </c>
      <c r="C74" s="1" t="n">
        <v>45732</v>
      </c>
      <c r="D74" t="inlineStr">
        <is>
          <t>VÄSTMANLANDS LÄN</t>
        </is>
      </c>
      <c r="E74" t="inlineStr">
        <is>
          <t>SURAHAMMAR</t>
        </is>
      </c>
      <c r="F74" t="inlineStr">
        <is>
          <t>Bergvik skog väst AB</t>
        </is>
      </c>
      <c r="G74" t="n">
        <v>18</v>
      </c>
      <c r="H74" t="n">
        <v>1</v>
      </c>
      <c r="I74" t="n">
        <v>0</v>
      </c>
      <c r="J74" t="n">
        <v>0</v>
      </c>
      <c r="K74" t="n">
        <v>0</v>
      </c>
      <c r="L74" t="n">
        <v>0</v>
      </c>
      <c r="M74" t="n">
        <v>0</v>
      </c>
      <c r="N74" t="n">
        <v>0</v>
      </c>
      <c r="O74" t="n">
        <v>0</v>
      </c>
      <c r="P74" t="n">
        <v>0</v>
      </c>
      <c r="Q74" t="n">
        <v>1</v>
      </c>
      <c r="R74" s="2" t="inlineStr">
        <is>
          <t>Revlummer</t>
        </is>
      </c>
      <c r="S74">
        <f>HYPERLINK("https://klasma.github.io/Logging_1907/artfynd/A 18717-2021 artfynd.xlsx", "A 18717-2021")</f>
        <v/>
      </c>
      <c r="T74">
        <f>HYPERLINK("https://klasma.github.io/Logging_1907/kartor/A 18717-2021 karta.png", "A 18717-2021")</f>
        <v/>
      </c>
      <c r="V74">
        <f>HYPERLINK("https://klasma.github.io/Logging_1907/klagomål/A 18717-2021 FSC-klagomål.docx", "A 18717-2021")</f>
        <v/>
      </c>
      <c r="W74">
        <f>HYPERLINK("https://klasma.github.io/Logging_1907/klagomålsmail/A 18717-2021 FSC-klagomål mail.docx", "A 18717-2021")</f>
        <v/>
      </c>
      <c r="X74">
        <f>HYPERLINK("https://klasma.github.io/Logging_1907/tillsyn/A 18717-2021 tillsynsbegäran.docx", "A 18717-2021")</f>
        <v/>
      </c>
      <c r="Y74">
        <f>HYPERLINK("https://klasma.github.io/Logging_1907/tillsynsmail/A 18717-2021 tillsynsbegäran mail.docx", "A 18717-2021")</f>
        <v/>
      </c>
    </row>
    <row r="75" ht="15" customHeight="1">
      <c r="A75" t="inlineStr">
        <is>
          <t>A 20479-2021</t>
        </is>
      </c>
      <c r="B75" s="1" t="n">
        <v>44315</v>
      </c>
      <c r="C75" s="1" t="n">
        <v>45732</v>
      </c>
      <c r="D75" t="inlineStr">
        <is>
          <t>VÄSTMANLANDS LÄN</t>
        </is>
      </c>
      <c r="E75" t="inlineStr">
        <is>
          <t>SURAHAMMAR</t>
        </is>
      </c>
      <c r="F75" t="inlineStr">
        <is>
          <t>Sveaskog</t>
        </is>
      </c>
      <c r="G75" t="n">
        <v>3.8</v>
      </c>
      <c r="H75" t="n">
        <v>0</v>
      </c>
      <c r="I75" t="n">
        <v>1</v>
      </c>
      <c r="J75" t="n">
        <v>0</v>
      </c>
      <c r="K75" t="n">
        <v>0</v>
      </c>
      <c r="L75" t="n">
        <v>0</v>
      </c>
      <c r="M75" t="n">
        <v>0</v>
      </c>
      <c r="N75" t="n">
        <v>0</v>
      </c>
      <c r="O75" t="n">
        <v>0</v>
      </c>
      <c r="P75" t="n">
        <v>0</v>
      </c>
      <c r="Q75" t="n">
        <v>1</v>
      </c>
      <c r="R75" s="2" t="inlineStr">
        <is>
          <t>Grönpyrola</t>
        </is>
      </c>
      <c r="S75">
        <f>HYPERLINK("https://klasma.github.io/Logging_1907/artfynd/A 20479-2021 artfynd.xlsx", "A 20479-2021")</f>
        <v/>
      </c>
      <c r="T75">
        <f>HYPERLINK("https://klasma.github.io/Logging_1907/kartor/A 20479-2021 karta.png", "A 20479-2021")</f>
        <v/>
      </c>
      <c r="V75">
        <f>HYPERLINK("https://klasma.github.io/Logging_1907/klagomål/A 20479-2021 FSC-klagomål.docx", "A 20479-2021")</f>
        <v/>
      </c>
      <c r="W75">
        <f>HYPERLINK("https://klasma.github.io/Logging_1907/klagomålsmail/A 20479-2021 FSC-klagomål mail.docx", "A 20479-2021")</f>
        <v/>
      </c>
      <c r="X75">
        <f>HYPERLINK("https://klasma.github.io/Logging_1907/tillsyn/A 20479-2021 tillsynsbegäran.docx", "A 20479-2021")</f>
        <v/>
      </c>
      <c r="Y75">
        <f>HYPERLINK("https://klasma.github.io/Logging_1907/tillsynsmail/A 20479-2021 tillsynsbegäran mail.docx", "A 20479-2021")</f>
        <v/>
      </c>
    </row>
    <row r="76" ht="15" customHeight="1">
      <c r="A76" t="inlineStr">
        <is>
          <t>A 38170-2021</t>
        </is>
      </c>
      <c r="B76" s="1" t="n">
        <v>44405</v>
      </c>
      <c r="C76" s="1" t="n">
        <v>45732</v>
      </c>
      <c r="D76" t="inlineStr">
        <is>
          <t>VÄSTMANLANDS LÄN</t>
        </is>
      </c>
      <c r="E76" t="inlineStr">
        <is>
          <t>SURAHAMMAR</t>
        </is>
      </c>
      <c r="F76" t="inlineStr">
        <is>
          <t>Sveaskog</t>
        </is>
      </c>
      <c r="G76" t="n">
        <v>1.2</v>
      </c>
      <c r="H76" t="n">
        <v>1</v>
      </c>
      <c r="I76" t="n">
        <v>0</v>
      </c>
      <c r="J76" t="n">
        <v>0</v>
      </c>
      <c r="K76" t="n">
        <v>0</v>
      </c>
      <c r="L76" t="n">
        <v>0</v>
      </c>
      <c r="M76" t="n">
        <v>0</v>
      </c>
      <c r="N76" t="n">
        <v>0</v>
      </c>
      <c r="O76" t="n">
        <v>0</v>
      </c>
      <c r="P76" t="n">
        <v>0</v>
      </c>
      <c r="Q76" t="n">
        <v>1</v>
      </c>
      <c r="R76" s="2" t="inlineStr">
        <is>
          <t>Revlummer</t>
        </is>
      </c>
      <c r="S76">
        <f>HYPERLINK("https://klasma.github.io/Logging_1907/artfynd/A 38170-2021 artfynd.xlsx", "A 38170-2021")</f>
        <v/>
      </c>
      <c r="T76">
        <f>HYPERLINK("https://klasma.github.io/Logging_1907/kartor/A 38170-2021 karta.png", "A 38170-2021")</f>
        <v/>
      </c>
      <c r="V76">
        <f>HYPERLINK("https://klasma.github.io/Logging_1907/klagomål/A 38170-2021 FSC-klagomål.docx", "A 38170-2021")</f>
        <v/>
      </c>
      <c r="W76">
        <f>HYPERLINK("https://klasma.github.io/Logging_1907/klagomålsmail/A 38170-2021 FSC-klagomål mail.docx", "A 38170-2021")</f>
        <v/>
      </c>
      <c r="X76">
        <f>HYPERLINK("https://klasma.github.io/Logging_1907/tillsyn/A 38170-2021 tillsynsbegäran.docx", "A 38170-2021")</f>
        <v/>
      </c>
      <c r="Y76">
        <f>HYPERLINK("https://klasma.github.io/Logging_1907/tillsynsmail/A 38170-2021 tillsynsbegäran mail.docx", "A 38170-2021")</f>
        <v/>
      </c>
    </row>
    <row r="77" ht="15" customHeight="1">
      <c r="A77" t="inlineStr">
        <is>
          <t>A 38175-2021</t>
        </is>
      </c>
      <c r="B77" s="1" t="n">
        <v>44405</v>
      </c>
      <c r="C77" s="1" t="n">
        <v>45732</v>
      </c>
      <c r="D77" t="inlineStr">
        <is>
          <t>VÄSTMANLANDS LÄN</t>
        </is>
      </c>
      <c r="E77" t="inlineStr">
        <is>
          <t>SURAHAMMAR</t>
        </is>
      </c>
      <c r="F77" t="inlineStr">
        <is>
          <t>Sveaskog</t>
        </is>
      </c>
      <c r="G77" t="n">
        <v>3.1</v>
      </c>
      <c r="H77" t="n">
        <v>0</v>
      </c>
      <c r="I77" t="n">
        <v>0</v>
      </c>
      <c r="J77" t="n">
        <v>1</v>
      </c>
      <c r="K77" t="n">
        <v>0</v>
      </c>
      <c r="L77" t="n">
        <v>0</v>
      </c>
      <c r="M77" t="n">
        <v>0</v>
      </c>
      <c r="N77" t="n">
        <v>0</v>
      </c>
      <c r="O77" t="n">
        <v>1</v>
      </c>
      <c r="P77" t="n">
        <v>0</v>
      </c>
      <c r="Q77" t="n">
        <v>1</v>
      </c>
      <c r="R77" s="2" t="inlineStr">
        <is>
          <t>Ullticka</t>
        </is>
      </c>
      <c r="S77">
        <f>HYPERLINK("https://klasma.github.io/Logging_1907/artfynd/A 38175-2021 artfynd.xlsx", "A 38175-2021")</f>
        <v/>
      </c>
      <c r="T77">
        <f>HYPERLINK("https://klasma.github.io/Logging_1907/kartor/A 38175-2021 karta.png", "A 38175-2021")</f>
        <v/>
      </c>
      <c r="V77">
        <f>HYPERLINK("https://klasma.github.io/Logging_1907/klagomål/A 38175-2021 FSC-klagomål.docx", "A 38175-2021")</f>
        <v/>
      </c>
      <c r="W77">
        <f>HYPERLINK("https://klasma.github.io/Logging_1907/klagomålsmail/A 38175-2021 FSC-klagomål mail.docx", "A 38175-2021")</f>
        <v/>
      </c>
      <c r="X77">
        <f>HYPERLINK("https://klasma.github.io/Logging_1907/tillsyn/A 38175-2021 tillsynsbegäran.docx", "A 38175-2021")</f>
        <v/>
      </c>
      <c r="Y77">
        <f>HYPERLINK("https://klasma.github.io/Logging_1907/tillsynsmail/A 38175-2021 tillsynsbegäran mail.docx", "A 38175-2021")</f>
        <v/>
      </c>
    </row>
    <row r="78" ht="15" customHeight="1">
      <c r="A78" t="inlineStr">
        <is>
          <t>A 40411-2021</t>
        </is>
      </c>
      <c r="B78" s="1" t="n">
        <v>44419</v>
      </c>
      <c r="C78" s="1" t="n">
        <v>45732</v>
      </c>
      <c r="D78" t="inlineStr">
        <is>
          <t>VÄSTMANLANDS LÄN</t>
        </is>
      </c>
      <c r="E78" t="inlineStr">
        <is>
          <t>SURAHAMMAR</t>
        </is>
      </c>
      <c r="F78" t="inlineStr">
        <is>
          <t>Sveaskog</t>
        </is>
      </c>
      <c r="G78" t="n">
        <v>2.4</v>
      </c>
      <c r="H78" t="n">
        <v>1</v>
      </c>
      <c r="I78" t="n">
        <v>0</v>
      </c>
      <c r="J78" t="n">
        <v>0</v>
      </c>
      <c r="K78" t="n">
        <v>0</v>
      </c>
      <c r="L78" t="n">
        <v>0</v>
      </c>
      <c r="M78" t="n">
        <v>0</v>
      </c>
      <c r="N78" t="n">
        <v>0</v>
      </c>
      <c r="O78" t="n">
        <v>0</v>
      </c>
      <c r="P78" t="n">
        <v>0</v>
      </c>
      <c r="Q78" t="n">
        <v>1</v>
      </c>
      <c r="R78" s="2" t="inlineStr">
        <is>
          <t>Kopparödla</t>
        </is>
      </c>
      <c r="S78">
        <f>HYPERLINK("https://klasma.github.io/Logging_1907/artfynd/A 40411-2021 artfynd.xlsx", "A 40411-2021")</f>
        <v/>
      </c>
      <c r="T78">
        <f>HYPERLINK("https://klasma.github.io/Logging_1907/kartor/A 40411-2021 karta.png", "A 40411-2021")</f>
        <v/>
      </c>
      <c r="V78">
        <f>HYPERLINK("https://klasma.github.io/Logging_1907/klagomål/A 40411-2021 FSC-klagomål.docx", "A 40411-2021")</f>
        <v/>
      </c>
      <c r="W78">
        <f>HYPERLINK("https://klasma.github.io/Logging_1907/klagomålsmail/A 40411-2021 FSC-klagomål mail.docx", "A 40411-2021")</f>
        <v/>
      </c>
      <c r="X78">
        <f>HYPERLINK("https://klasma.github.io/Logging_1907/tillsyn/A 40411-2021 tillsynsbegäran.docx", "A 40411-2021")</f>
        <v/>
      </c>
      <c r="Y78">
        <f>HYPERLINK("https://klasma.github.io/Logging_1907/tillsynsmail/A 40411-2021 tillsynsbegäran mail.docx", "A 40411-2021")</f>
        <v/>
      </c>
    </row>
    <row r="79" ht="15" customHeight="1">
      <c r="A79" t="inlineStr">
        <is>
          <t>A 69777-2021</t>
        </is>
      </c>
      <c r="B79" s="1" t="n">
        <v>44532</v>
      </c>
      <c r="C79" s="1" t="n">
        <v>45732</v>
      </c>
      <c r="D79" t="inlineStr">
        <is>
          <t>VÄSTMANLANDS LÄN</t>
        </is>
      </c>
      <c r="E79" t="inlineStr">
        <is>
          <t>SURAHAMMAR</t>
        </is>
      </c>
      <c r="G79" t="n">
        <v>2.3</v>
      </c>
      <c r="H79" t="n">
        <v>1</v>
      </c>
      <c r="I79" t="n">
        <v>0</v>
      </c>
      <c r="J79" t="n">
        <v>0</v>
      </c>
      <c r="K79" t="n">
        <v>1</v>
      </c>
      <c r="L79" t="n">
        <v>0</v>
      </c>
      <c r="M79" t="n">
        <v>0</v>
      </c>
      <c r="N79" t="n">
        <v>0</v>
      </c>
      <c r="O79" t="n">
        <v>1</v>
      </c>
      <c r="P79" t="n">
        <v>1</v>
      </c>
      <c r="Q79" t="n">
        <v>1</v>
      </c>
      <c r="R79" s="2" t="inlineStr">
        <is>
          <t>Bombmurkla</t>
        </is>
      </c>
      <c r="S79">
        <f>HYPERLINK("https://klasma.github.io/Logging_1907/artfynd/A 69777-2021 artfynd.xlsx", "A 69777-2021")</f>
        <v/>
      </c>
      <c r="T79">
        <f>HYPERLINK("https://klasma.github.io/Logging_1907/kartor/A 69777-2021 karta.png", "A 69777-2021")</f>
        <v/>
      </c>
      <c r="V79">
        <f>HYPERLINK("https://klasma.github.io/Logging_1907/klagomål/A 69777-2021 FSC-klagomål.docx", "A 69777-2021")</f>
        <v/>
      </c>
      <c r="W79">
        <f>HYPERLINK("https://klasma.github.io/Logging_1907/klagomålsmail/A 69777-2021 FSC-klagomål mail.docx", "A 69777-2021")</f>
        <v/>
      </c>
      <c r="X79">
        <f>HYPERLINK("https://klasma.github.io/Logging_1907/tillsyn/A 69777-2021 tillsynsbegäran.docx", "A 69777-2021")</f>
        <v/>
      </c>
      <c r="Y79">
        <f>HYPERLINK("https://klasma.github.io/Logging_1907/tillsynsmail/A 69777-2021 tillsynsbegäran mail.docx", "A 69777-2021")</f>
        <v/>
      </c>
    </row>
    <row r="80" ht="15" customHeight="1">
      <c r="A80" t="inlineStr">
        <is>
          <t>A 7655-2022</t>
        </is>
      </c>
      <c r="B80" s="1" t="n">
        <v>44607</v>
      </c>
      <c r="C80" s="1" t="n">
        <v>45732</v>
      </c>
      <c r="D80" t="inlineStr">
        <is>
          <t>VÄSTMANLANDS LÄN</t>
        </is>
      </c>
      <c r="E80" t="inlineStr">
        <is>
          <t>SURAHAMMAR</t>
        </is>
      </c>
      <c r="G80" t="n">
        <v>1.1</v>
      </c>
      <c r="H80" t="n">
        <v>1</v>
      </c>
      <c r="I80" t="n">
        <v>0</v>
      </c>
      <c r="J80" t="n">
        <v>0</v>
      </c>
      <c r="K80" t="n">
        <v>1</v>
      </c>
      <c r="L80" t="n">
        <v>0</v>
      </c>
      <c r="M80" t="n">
        <v>0</v>
      </c>
      <c r="N80" t="n">
        <v>0</v>
      </c>
      <c r="O80" t="n">
        <v>1</v>
      </c>
      <c r="P80" t="n">
        <v>1</v>
      </c>
      <c r="Q80" t="n">
        <v>1</v>
      </c>
      <c r="R80" s="2" t="inlineStr">
        <is>
          <t>Bombmurkla</t>
        </is>
      </c>
      <c r="S80">
        <f>HYPERLINK("https://klasma.github.io/Logging_1907/artfynd/A 7655-2022 artfynd.xlsx", "A 7655-2022")</f>
        <v/>
      </c>
      <c r="T80">
        <f>HYPERLINK("https://klasma.github.io/Logging_1907/kartor/A 7655-2022 karta.png", "A 7655-2022")</f>
        <v/>
      </c>
      <c r="V80">
        <f>HYPERLINK("https://klasma.github.io/Logging_1907/klagomål/A 7655-2022 FSC-klagomål.docx", "A 7655-2022")</f>
        <v/>
      </c>
      <c r="W80">
        <f>HYPERLINK("https://klasma.github.io/Logging_1907/klagomålsmail/A 7655-2022 FSC-klagomål mail.docx", "A 7655-2022")</f>
        <v/>
      </c>
      <c r="X80">
        <f>HYPERLINK("https://klasma.github.io/Logging_1907/tillsyn/A 7655-2022 tillsynsbegäran.docx", "A 7655-2022")</f>
        <v/>
      </c>
      <c r="Y80">
        <f>HYPERLINK("https://klasma.github.io/Logging_1907/tillsynsmail/A 7655-2022 tillsynsbegäran mail.docx", "A 7655-2022")</f>
        <v/>
      </c>
    </row>
    <row r="81" ht="15" customHeight="1">
      <c r="A81" t="inlineStr">
        <is>
          <t>A 17632-2022</t>
        </is>
      </c>
      <c r="B81" s="1" t="n">
        <v>44680</v>
      </c>
      <c r="C81" s="1" t="n">
        <v>45732</v>
      </c>
      <c r="D81" t="inlineStr">
        <is>
          <t>VÄSTMANLANDS LÄN</t>
        </is>
      </c>
      <c r="E81" t="inlineStr">
        <is>
          <t>SURAHAMMAR</t>
        </is>
      </c>
      <c r="G81" t="n">
        <v>5.2</v>
      </c>
      <c r="H81" t="n">
        <v>0</v>
      </c>
      <c r="I81" t="n">
        <v>1</v>
      </c>
      <c r="J81" t="n">
        <v>0</v>
      </c>
      <c r="K81" t="n">
        <v>0</v>
      </c>
      <c r="L81" t="n">
        <v>0</v>
      </c>
      <c r="M81" t="n">
        <v>0</v>
      </c>
      <c r="N81" t="n">
        <v>0</v>
      </c>
      <c r="O81" t="n">
        <v>0</v>
      </c>
      <c r="P81" t="n">
        <v>0</v>
      </c>
      <c r="Q81" t="n">
        <v>1</v>
      </c>
      <c r="R81" s="2" t="inlineStr">
        <is>
          <t>Blodticka</t>
        </is>
      </c>
      <c r="S81">
        <f>HYPERLINK("https://klasma.github.io/Logging_1907/artfynd/A 17632-2022 artfynd.xlsx", "A 17632-2022")</f>
        <v/>
      </c>
      <c r="T81">
        <f>HYPERLINK("https://klasma.github.io/Logging_1907/kartor/A 17632-2022 karta.png", "A 17632-2022")</f>
        <v/>
      </c>
      <c r="V81">
        <f>HYPERLINK("https://klasma.github.io/Logging_1907/klagomål/A 17632-2022 FSC-klagomål.docx", "A 17632-2022")</f>
        <v/>
      </c>
      <c r="W81">
        <f>HYPERLINK("https://klasma.github.io/Logging_1907/klagomålsmail/A 17632-2022 FSC-klagomål mail.docx", "A 17632-2022")</f>
        <v/>
      </c>
      <c r="X81">
        <f>HYPERLINK("https://klasma.github.io/Logging_1907/tillsyn/A 17632-2022 tillsynsbegäran.docx", "A 17632-2022")</f>
        <v/>
      </c>
      <c r="Y81">
        <f>HYPERLINK("https://klasma.github.io/Logging_1907/tillsynsmail/A 17632-2022 tillsynsbegäran mail.docx", "A 17632-2022")</f>
        <v/>
      </c>
    </row>
    <row r="82" ht="15" customHeight="1">
      <c r="A82" t="inlineStr">
        <is>
          <t>A 39099-2022</t>
        </is>
      </c>
      <c r="B82" s="1" t="n">
        <v>44817</v>
      </c>
      <c r="C82" s="1" t="n">
        <v>45732</v>
      </c>
      <c r="D82" t="inlineStr">
        <is>
          <t>VÄSTMANLANDS LÄN</t>
        </is>
      </c>
      <c r="E82" t="inlineStr">
        <is>
          <t>SURAHAMMAR</t>
        </is>
      </c>
      <c r="F82" t="inlineStr">
        <is>
          <t>Bergvik skog väst AB</t>
        </is>
      </c>
      <c r="G82" t="n">
        <v>7.4</v>
      </c>
      <c r="H82" t="n">
        <v>0</v>
      </c>
      <c r="I82" t="n">
        <v>1</v>
      </c>
      <c r="J82" t="n">
        <v>0</v>
      </c>
      <c r="K82" t="n">
        <v>0</v>
      </c>
      <c r="L82" t="n">
        <v>0</v>
      </c>
      <c r="M82" t="n">
        <v>0</v>
      </c>
      <c r="N82" t="n">
        <v>0</v>
      </c>
      <c r="O82" t="n">
        <v>0</v>
      </c>
      <c r="P82" t="n">
        <v>0</v>
      </c>
      <c r="Q82" t="n">
        <v>1</v>
      </c>
      <c r="R82" s="2" t="inlineStr">
        <is>
          <t>Stekelbock</t>
        </is>
      </c>
      <c r="S82">
        <f>HYPERLINK("https://klasma.github.io/Logging_1907/artfynd/A 39099-2022 artfynd.xlsx", "A 39099-2022")</f>
        <v/>
      </c>
      <c r="T82">
        <f>HYPERLINK("https://klasma.github.io/Logging_1907/kartor/A 39099-2022 karta.png", "A 39099-2022")</f>
        <v/>
      </c>
      <c r="V82">
        <f>HYPERLINK("https://klasma.github.io/Logging_1907/klagomål/A 39099-2022 FSC-klagomål.docx", "A 39099-2022")</f>
        <v/>
      </c>
      <c r="W82">
        <f>HYPERLINK("https://klasma.github.io/Logging_1907/klagomålsmail/A 39099-2022 FSC-klagomål mail.docx", "A 39099-2022")</f>
        <v/>
      </c>
      <c r="X82">
        <f>HYPERLINK("https://klasma.github.io/Logging_1907/tillsyn/A 39099-2022 tillsynsbegäran.docx", "A 39099-2022")</f>
        <v/>
      </c>
      <c r="Y82">
        <f>HYPERLINK("https://klasma.github.io/Logging_1907/tillsynsmail/A 39099-2022 tillsynsbegäran mail.docx", "A 39099-2022")</f>
        <v/>
      </c>
    </row>
    <row r="83" ht="15" customHeight="1">
      <c r="A83" t="inlineStr">
        <is>
          <t>A 42765-2022</t>
        </is>
      </c>
      <c r="B83" s="1" t="n">
        <v>44832</v>
      </c>
      <c r="C83" s="1" t="n">
        <v>45732</v>
      </c>
      <c r="D83" t="inlineStr">
        <is>
          <t>VÄSTMANLANDS LÄN</t>
        </is>
      </c>
      <c r="E83" t="inlineStr">
        <is>
          <t>SURAHAMMAR</t>
        </is>
      </c>
      <c r="G83" t="n">
        <v>1.8</v>
      </c>
      <c r="H83" t="n">
        <v>1</v>
      </c>
      <c r="I83" t="n">
        <v>0</v>
      </c>
      <c r="J83" t="n">
        <v>0</v>
      </c>
      <c r="K83" t="n">
        <v>0</v>
      </c>
      <c r="L83" t="n">
        <v>0</v>
      </c>
      <c r="M83" t="n">
        <v>0</v>
      </c>
      <c r="N83" t="n">
        <v>0</v>
      </c>
      <c r="O83" t="n">
        <v>0</v>
      </c>
      <c r="P83" t="n">
        <v>0</v>
      </c>
      <c r="Q83" t="n">
        <v>1</v>
      </c>
      <c r="R83" s="2" t="inlineStr">
        <is>
          <t>Blåsippa</t>
        </is>
      </c>
      <c r="S83">
        <f>HYPERLINK("https://klasma.github.io/Logging_1907/artfynd/A 42765-2022 artfynd.xlsx", "A 42765-2022")</f>
        <v/>
      </c>
      <c r="T83">
        <f>HYPERLINK("https://klasma.github.io/Logging_1907/kartor/A 42765-2022 karta.png", "A 42765-2022")</f>
        <v/>
      </c>
      <c r="V83">
        <f>HYPERLINK("https://klasma.github.io/Logging_1907/klagomål/A 42765-2022 FSC-klagomål.docx", "A 42765-2022")</f>
        <v/>
      </c>
      <c r="W83">
        <f>HYPERLINK("https://klasma.github.io/Logging_1907/klagomålsmail/A 42765-2022 FSC-klagomål mail.docx", "A 42765-2022")</f>
        <v/>
      </c>
      <c r="X83">
        <f>HYPERLINK("https://klasma.github.io/Logging_1907/tillsyn/A 42765-2022 tillsynsbegäran.docx", "A 42765-2022")</f>
        <v/>
      </c>
      <c r="Y83">
        <f>HYPERLINK("https://klasma.github.io/Logging_1907/tillsynsmail/A 42765-2022 tillsynsbegäran mail.docx", "A 42765-2022")</f>
        <v/>
      </c>
    </row>
    <row r="84" ht="15" customHeight="1">
      <c r="A84" t="inlineStr">
        <is>
          <t>A 47207-2022</t>
        </is>
      </c>
      <c r="B84" s="1" t="n">
        <v>44852</v>
      </c>
      <c r="C84" s="1" t="n">
        <v>45732</v>
      </c>
      <c r="D84" t="inlineStr">
        <is>
          <t>VÄSTMANLANDS LÄN</t>
        </is>
      </c>
      <c r="E84" t="inlineStr">
        <is>
          <t>SURAHAMMAR</t>
        </is>
      </c>
      <c r="G84" t="n">
        <v>3.2</v>
      </c>
      <c r="H84" t="n">
        <v>0</v>
      </c>
      <c r="I84" t="n">
        <v>0</v>
      </c>
      <c r="J84" t="n">
        <v>1</v>
      </c>
      <c r="K84" t="n">
        <v>0</v>
      </c>
      <c r="L84" t="n">
        <v>0</v>
      </c>
      <c r="M84" t="n">
        <v>0</v>
      </c>
      <c r="N84" t="n">
        <v>0</v>
      </c>
      <c r="O84" t="n">
        <v>1</v>
      </c>
      <c r="P84" t="n">
        <v>0</v>
      </c>
      <c r="Q84" t="n">
        <v>1</v>
      </c>
      <c r="R84" s="2" t="inlineStr">
        <is>
          <t>Veckticka</t>
        </is>
      </c>
      <c r="S84">
        <f>HYPERLINK("https://klasma.github.io/Logging_1907/artfynd/A 47207-2022 artfynd.xlsx", "A 47207-2022")</f>
        <v/>
      </c>
      <c r="T84">
        <f>HYPERLINK("https://klasma.github.io/Logging_1907/kartor/A 47207-2022 karta.png", "A 47207-2022")</f>
        <v/>
      </c>
      <c r="V84">
        <f>HYPERLINK("https://klasma.github.io/Logging_1907/klagomål/A 47207-2022 FSC-klagomål.docx", "A 47207-2022")</f>
        <v/>
      </c>
      <c r="W84">
        <f>HYPERLINK("https://klasma.github.io/Logging_1907/klagomålsmail/A 47207-2022 FSC-klagomål mail.docx", "A 47207-2022")</f>
        <v/>
      </c>
      <c r="X84">
        <f>HYPERLINK("https://klasma.github.io/Logging_1907/tillsyn/A 47207-2022 tillsynsbegäran.docx", "A 47207-2022")</f>
        <v/>
      </c>
      <c r="Y84">
        <f>HYPERLINK("https://klasma.github.io/Logging_1907/tillsynsmail/A 47207-2022 tillsynsbegäran mail.docx", "A 47207-2022")</f>
        <v/>
      </c>
    </row>
    <row r="85" ht="15" customHeight="1">
      <c r="A85" t="inlineStr">
        <is>
          <t>A 11259-2023</t>
        </is>
      </c>
      <c r="B85" s="1" t="n">
        <v>44991</v>
      </c>
      <c r="C85" s="1" t="n">
        <v>45732</v>
      </c>
      <c r="D85" t="inlineStr">
        <is>
          <t>VÄSTMANLANDS LÄN</t>
        </is>
      </c>
      <c r="E85" t="inlineStr">
        <is>
          <t>SURAHAMMAR</t>
        </is>
      </c>
      <c r="G85" t="n">
        <v>2.4</v>
      </c>
      <c r="H85" t="n">
        <v>1</v>
      </c>
      <c r="I85" t="n">
        <v>0</v>
      </c>
      <c r="J85" t="n">
        <v>1</v>
      </c>
      <c r="K85" t="n">
        <v>0</v>
      </c>
      <c r="L85" t="n">
        <v>0</v>
      </c>
      <c r="M85" t="n">
        <v>0</v>
      </c>
      <c r="N85" t="n">
        <v>0</v>
      </c>
      <c r="O85" t="n">
        <v>1</v>
      </c>
      <c r="P85" t="n">
        <v>0</v>
      </c>
      <c r="Q85" t="n">
        <v>1</v>
      </c>
      <c r="R85" s="2" t="inlineStr">
        <is>
          <t>Spillkråka</t>
        </is>
      </c>
      <c r="S85">
        <f>HYPERLINK("https://klasma.github.io/Logging_1907/artfynd/A 11259-2023 artfynd.xlsx", "A 11259-2023")</f>
        <v/>
      </c>
      <c r="T85">
        <f>HYPERLINK("https://klasma.github.io/Logging_1907/kartor/A 11259-2023 karta.png", "A 11259-2023")</f>
        <v/>
      </c>
      <c r="V85">
        <f>HYPERLINK("https://klasma.github.io/Logging_1907/klagomål/A 11259-2023 FSC-klagomål.docx", "A 11259-2023")</f>
        <v/>
      </c>
      <c r="W85">
        <f>HYPERLINK("https://klasma.github.io/Logging_1907/klagomålsmail/A 11259-2023 FSC-klagomål mail.docx", "A 11259-2023")</f>
        <v/>
      </c>
      <c r="X85">
        <f>HYPERLINK("https://klasma.github.io/Logging_1907/tillsyn/A 11259-2023 tillsynsbegäran.docx", "A 11259-2023")</f>
        <v/>
      </c>
      <c r="Y85">
        <f>HYPERLINK("https://klasma.github.io/Logging_1907/tillsynsmail/A 11259-2023 tillsynsbegäran mail.docx", "A 11259-2023")</f>
        <v/>
      </c>
      <c r="Z85">
        <f>HYPERLINK("https://klasma.github.io/Logging_1907/fåglar/A 11259-2023 prioriterade fågelarter.docx", "A 11259-2023")</f>
        <v/>
      </c>
    </row>
    <row r="86" ht="15" customHeight="1">
      <c r="A86" t="inlineStr">
        <is>
          <t>A 13971-2023</t>
        </is>
      </c>
      <c r="B86" s="1" t="n">
        <v>45007</v>
      </c>
      <c r="C86" s="1" t="n">
        <v>45732</v>
      </c>
      <c r="D86" t="inlineStr">
        <is>
          <t>VÄSTMANLANDS LÄN</t>
        </is>
      </c>
      <c r="E86" t="inlineStr">
        <is>
          <t>SURAHAMMAR</t>
        </is>
      </c>
      <c r="F86" t="inlineStr">
        <is>
          <t>Bergvik skog väst AB</t>
        </is>
      </c>
      <c r="G86" t="n">
        <v>2.9</v>
      </c>
      <c r="H86" t="n">
        <v>1</v>
      </c>
      <c r="I86" t="n">
        <v>0</v>
      </c>
      <c r="J86" t="n">
        <v>0</v>
      </c>
      <c r="K86" t="n">
        <v>0</v>
      </c>
      <c r="L86" t="n">
        <v>0</v>
      </c>
      <c r="M86" t="n">
        <v>0</v>
      </c>
      <c r="N86" t="n">
        <v>0</v>
      </c>
      <c r="O86" t="n">
        <v>0</v>
      </c>
      <c r="P86" t="n">
        <v>0</v>
      </c>
      <c r="Q86" t="n">
        <v>1</v>
      </c>
      <c r="R86" s="2" t="inlineStr">
        <is>
          <t>Fläcknycklar</t>
        </is>
      </c>
      <c r="S86">
        <f>HYPERLINK("https://klasma.github.io/Logging_1907/artfynd/A 13971-2023 artfynd.xlsx", "A 13971-2023")</f>
        <v/>
      </c>
      <c r="T86">
        <f>HYPERLINK("https://klasma.github.io/Logging_1907/kartor/A 13971-2023 karta.png", "A 13971-2023")</f>
        <v/>
      </c>
      <c r="V86">
        <f>HYPERLINK("https://klasma.github.io/Logging_1907/klagomål/A 13971-2023 FSC-klagomål.docx", "A 13971-2023")</f>
        <v/>
      </c>
      <c r="W86">
        <f>HYPERLINK("https://klasma.github.io/Logging_1907/klagomålsmail/A 13971-2023 FSC-klagomål mail.docx", "A 13971-2023")</f>
        <v/>
      </c>
      <c r="X86">
        <f>HYPERLINK("https://klasma.github.io/Logging_1907/tillsyn/A 13971-2023 tillsynsbegäran.docx", "A 13971-2023")</f>
        <v/>
      </c>
      <c r="Y86">
        <f>HYPERLINK("https://klasma.github.io/Logging_1907/tillsynsmail/A 13971-2023 tillsynsbegäran mail.docx", "A 13971-2023")</f>
        <v/>
      </c>
    </row>
    <row r="87" ht="15" customHeight="1">
      <c r="A87" t="inlineStr">
        <is>
          <t>A 14001-2023</t>
        </is>
      </c>
      <c r="B87" s="1" t="n">
        <v>45007</v>
      </c>
      <c r="C87" s="1" t="n">
        <v>45732</v>
      </c>
      <c r="D87" t="inlineStr">
        <is>
          <t>VÄSTMANLANDS LÄN</t>
        </is>
      </c>
      <c r="E87" t="inlineStr">
        <is>
          <t>SURAHAMMAR</t>
        </is>
      </c>
      <c r="F87" t="inlineStr">
        <is>
          <t>Bergvik skog väst AB</t>
        </is>
      </c>
      <c r="G87" t="n">
        <v>1</v>
      </c>
      <c r="H87" t="n">
        <v>0</v>
      </c>
      <c r="I87" t="n">
        <v>0</v>
      </c>
      <c r="J87" t="n">
        <v>1</v>
      </c>
      <c r="K87" t="n">
        <v>0</v>
      </c>
      <c r="L87" t="n">
        <v>0</v>
      </c>
      <c r="M87" t="n">
        <v>0</v>
      </c>
      <c r="N87" t="n">
        <v>0</v>
      </c>
      <c r="O87" t="n">
        <v>1</v>
      </c>
      <c r="P87" t="n">
        <v>0</v>
      </c>
      <c r="Q87" t="n">
        <v>1</v>
      </c>
      <c r="R87" s="2" t="inlineStr">
        <is>
          <t>Motaggsvamp</t>
        </is>
      </c>
      <c r="S87">
        <f>HYPERLINK("https://klasma.github.io/Logging_1907/artfynd/A 14001-2023 artfynd.xlsx", "A 14001-2023")</f>
        <v/>
      </c>
      <c r="T87">
        <f>HYPERLINK("https://klasma.github.io/Logging_1907/kartor/A 14001-2023 karta.png", "A 14001-2023")</f>
        <v/>
      </c>
      <c r="V87">
        <f>HYPERLINK("https://klasma.github.io/Logging_1907/klagomål/A 14001-2023 FSC-klagomål.docx", "A 14001-2023")</f>
        <v/>
      </c>
      <c r="W87">
        <f>HYPERLINK("https://klasma.github.io/Logging_1907/klagomålsmail/A 14001-2023 FSC-klagomål mail.docx", "A 14001-2023")</f>
        <v/>
      </c>
      <c r="X87">
        <f>HYPERLINK("https://klasma.github.io/Logging_1907/tillsyn/A 14001-2023 tillsynsbegäran.docx", "A 14001-2023")</f>
        <v/>
      </c>
      <c r="Y87">
        <f>HYPERLINK("https://klasma.github.io/Logging_1907/tillsynsmail/A 14001-2023 tillsynsbegäran mail.docx", "A 14001-2023")</f>
        <v/>
      </c>
    </row>
    <row r="88" ht="15" customHeight="1">
      <c r="A88" t="inlineStr">
        <is>
          <t>A 16219-2023</t>
        </is>
      </c>
      <c r="B88" s="1" t="n">
        <v>45022</v>
      </c>
      <c r="C88" s="1" t="n">
        <v>45732</v>
      </c>
      <c r="D88" t="inlineStr">
        <is>
          <t>VÄSTMANLANDS LÄN</t>
        </is>
      </c>
      <c r="E88" t="inlineStr">
        <is>
          <t>SURAHAMMAR</t>
        </is>
      </c>
      <c r="G88" t="n">
        <v>5.9</v>
      </c>
      <c r="H88" t="n">
        <v>1</v>
      </c>
      <c r="I88" t="n">
        <v>0</v>
      </c>
      <c r="J88" t="n">
        <v>1</v>
      </c>
      <c r="K88" t="n">
        <v>0</v>
      </c>
      <c r="L88" t="n">
        <v>0</v>
      </c>
      <c r="M88" t="n">
        <v>0</v>
      </c>
      <c r="N88" t="n">
        <v>0</v>
      </c>
      <c r="O88" t="n">
        <v>1</v>
      </c>
      <c r="P88" t="n">
        <v>0</v>
      </c>
      <c r="Q88" t="n">
        <v>1</v>
      </c>
      <c r="R88" s="2" t="inlineStr">
        <is>
          <t>Talltita</t>
        </is>
      </c>
      <c r="S88">
        <f>HYPERLINK("https://klasma.github.io/Logging_1907/artfynd/A 16219-2023 artfynd.xlsx", "A 16219-2023")</f>
        <v/>
      </c>
      <c r="T88">
        <f>HYPERLINK("https://klasma.github.io/Logging_1907/kartor/A 16219-2023 karta.png", "A 16219-2023")</f>
        <v/>
      </c>
      <c r="V88">
        <f>HYPERLINK("https://klasma.github.io/Logging_1907/klagomål/A 16219-2023 FSC-klagomål.docx", "A 16219-2023")</f>
        <v/>
      </c>
      <c r="W88">
        <f>HYPERLINK("https://klasma.github.io/Logging_1907/klagomålsmail/A 16219-2023 FSC-klagomål mail.docx", "A 16219-2023")</f>
        <v/>
      </c>
      <c r="X88">
        <f>HYPERLINK("https://klasma.github.io/Logging_1907/tillsyn/A 16219-2023 tillsynsbegäran.docx", "A 16219-2023")</f>
        <v/>
      </c>
      <c r="Y88">
        <f>HYPERLINK("https://klasma.github.io/Logging_1907/tillsynsmail/A 16219-2023 tillsynsbegäran mail.docx", "A 16219-2023")</f>
        <v/>
      </c>
      <c r="Z88">
        <f>HYPERLINK("https://klasma.github.io/Logging_1907/fåglar/A 16219-2023 prioriterade fågelarter.docx", "A 16219-2023")</f>
        <v/>
      </c>
    </row>
    <row r="89" ht="15" customHeight="1">
      <c r="A89" t="inlineStr">
        <is>
          <t>A 22840-2023</t>
        </is>
      </c>
      <c r="B89" s="1" t="n">
        <v>45072</v>
      </c>
      <c r="C89" s="1" t="n">
        <v>45732</v>
      </c>
      <c r="D89" t="inlineStr">
        <is>
          <t>VÄSTMANLANDS LÄN</t>
        </is>
      </c>
      <c r="E89" t="inlineStr">
        <is>
          <t>SURAHAMMAR</t>
        </is>
      </c>
      <c r="G89" t="n">
        <v>4.3</v>
      </c>
      <c r="H89" t="n">
        <v>1</v>
      </c>
      <c r="I89" t="n">
        <v>0</v>
      </c>
      <c r="J89" t="n">
        <v>0</v>
      </c>
      <c r="K89" t="n">
        <v>0</v>
      </c>
      <c r="L89" t="n">
        <v>0</v>
      </c>
      <c r="M89" t="n">
        <v>0</v>
      </c>
      <c r="N89" t="n">
        <v>0</v>
      </c>
      <c r="O89" t="n">
        <v>0</v>
      </c>
      <c r="P89" t="n">
        <v>0</v>
      </c>
      <c r="Q89" t="n">
        <v>1</v>
      </c>
      <c r="R89" s="2" t="inlineStr">
        <is>
          <t>Fläcknycklar</t>
        </is>
      </c>
      <c r="S89">
        <f>HYPERLINK("https://klasma.github.io/Logging_1907/artfynd/A 22840-2023 artfynd.xlsx", "A 22840-2023")</f>
        <v/>
      </c>
      <c r="T89">
        <f>HYPERLINK("https://klasma.github.io/Logging_1907/kartor/A 22840-2023 karta.png", "A 22840-2023")</f>
        <v/>
      </c>
      <c r="V89">
        <f>HYPERLINK("https://klasma.github.io/Logging_1907/klagomål/A 22840-2023 FSC-klagomål.docx", "A 22840-2023")</f>
        <v/>
      </c>
      <c r="W89">
        <f>HYPERLINK("https://klasma.github.io/Logging_1907/klagomålsmail/A 22840-2023 FSC-klagomål mail.docx", "A 22840-2023")</f>
        <v/>
      </c>
      <c r="X89">
        <f>HYPERLINK("https://klasma.github.io/Logging_1907/tillsyn/A 22840-2023 tillsynsbegäran.docx", "A 22840-2023")</f>
        <v/>
      </c>
      <c r="Y89">
        <f>HYPERLINK("https://klasma.github.io/Logging_1907/tillsynsmail/A 22840-2023 tillsynsbegäran mail.docx", "A 22840-2023")</f>
        <v/>
      </c>
    </row>
    <row r="90" ht="15" customHeight="1">
      <c r="A90" t="inlineStr">
        <is>
          <t>A 24920-2023</t>
        </is>
      </c>
      <c r="B90" s="1" t="n">
        <v>45085</v>
      </c>
      <c r="C90" s="1" t="n">
        <v>45732</v>
      </c>
      <c r="D90" t="inlineStr">
        <is>
          <t>VÄSTMANLANDS LÄN</t>
        </is>
      </c>
      <c r="E90" t="inlineStr">
        <is>
          <t>SURAHAMMAR</t>
        </is>
      </c>
      <c r="F90" t="inlineStr">
        <is>
          <t>Allmännings- och besparingsskogar</t>
        </is>
      </c>
      <c r="G90" t="n">
        <v>16.2</v>
      </c>
      <c r="H90" t="n">
        <v>1</v>
      </c>
      <c r="I90" t="n">
        <v>0</v>
      </c>
      <c r="J90" t="n">
        <v>1</v>
      </c>
      <c r="K90" t="n">
        <v>0</v>
      </c>
      <c r="L90" t="n">
        <v>0</v>
      </c>
      <c r="M90" t="n">
        <v>0</v>
      </c>
      <c r="N90" t="n">
        <v>0</v>
      </c>
      <c r="O90" t="n">
        <v>1</v>
      </c>
      <c r="P90" t="n">
        <v>0</v>
      </c>
      <c r="Q90" t="n">
        <v>1</v>
      </c>
      <c r="R90" s="2" t="inlineStr">
        <is>
          <t>Talltita</t>
        </is>
      </c>
      <c r="S90">
        <f>HYPERLINK("https://klasma.github.io/Logging_1907/artfynd/A 24920-2023 artfynd.xlsx", "A 24920-2023")</f>
        <v/>
      </c>
      <c r="T90">
        <f>HYPERLINK("https://klasma.github.io/Logging_1907/kartor/A 24920-2023 karta.png", "A 24920-2023")</f>
        <v/>
      </c>
      <c r="V90">
        <f>HYPERLINK("https://klasma.github.io/Logging_1907/klagomål/A 24920-2023 FSC-klagomål.docx", "A 24920-2023")</f>
        <v/>
      </c>
      <c r="W90">
        <f>HYPERLINK("https://klasma.github.io/Logging_1907/klagomålsmail/A 24920-2023 FSC-klagomål mail.docx", "A 24920-2023")</f>
        <v/>
      </c>
      <c r="X90">
        <f>HYPERLINK("https://klasma.github.io/Logging_1907/tillsyn/A 24920-2023 tillsynsbegäran.docx", "A 24920-2023")</f>
        <v/>
      </c>
      <c r="Y90">
        <f>HYPERLINK("https://klasma.github.io/Logging_1907/tillsynsmail/A 24920-2023 tillsynsbegäran mail.docx", "A 24920-2023")</f>
        <v/>
      </c>
      <c r="Z90">
        <f>HYPERLINK("https://klasma.github.io/Logging_1907/fåglar/A 24920-2023 prioriterade fågelarter.docx", "A 24920-2023")</f>
        <v/>
      </c>
    </row>
    <row r="91" ht="15" customHeight="1">
      <c r="A91" t="inlineStr">
        <is>
          <t>A 27170-2023</t>
        </is>
      </c>
      <c r="B91" s="1" t="n">
        <v>45096</v>
      </c>
      <c r="C91" s="1" t="n">
        <v>45732</v>
      </c>
      <c r="D91" t="inlineStr">
        <is>
          <t>VÄSTMANLANDS LÄN</t>
        </is>
      </c>
      <c r="E91" t="inlineStr">
        <is>
          <t>SURAHAMMAR</t>
        </is>
      </c>
      <c r="F91" t="inlineStr">
        <is>
          <t>Sveaskog</t>
        </is>
      </c>
      <c r="G91" t="n">
        <v>11.3</v>
      </c>
      <c r="H91" t="n">
        <v>0</v>
      </c>
      <c r="I91" t="n">
        <v>1</v>
      </c>
      <c r="J91" t="n">
        <v>0</v>
      </c>
      <c r="K91" t="n">
        <v>0</v>
      </c>
      <c r="L91" t="n">
        <v>0</v>
      </c>
      <c r="M91" t="n">
        <v>0</v>
      </c>
      <c r="N91" t="n">
        <v>0</v>
      </c>
      <c r="O91" t="n">
        <v>0</v>
      </c>
      <c r="P91" t="n">
        <v>0</v>
      </c>
      <c r="Q91" t="n">
        <v>1</v>
      </c>
      <c r="R91" s="2" t="inlineStr">
        <is>
          <t>Vedticka</t>
        </is>
      </c>
      <c r="S91">
        <f>HYPERLINK("https://klasma.github.io/Logging_1907/artfynd/A 27170-2023 artfynd.xlsx", "A 27170-2023")</f>
        <v/>
      </c>
      <c r="T91">
        <f>HYPERLINK("https://klasma.github.io/Logging_1907/kartor/A 27170-2023 karta.png", "A 27170-2023")</f>
        <v/>
      </c>
      <c r="V91">
        <f>HYPERLINK("https://klasma.github.io/Logging_1907/klagomål/A 27170-2023 FSC-klagomål.docx", "A 27170-2023")</f>
        <v/>
      </c>
      <c r="W91">
        <f>HYPERLINK("https://klasma.github.io/Logging_1907/klagomålsmail/A 27170-2023 FSC-klagomål mail.docx", "A 27170-2023")</f>
        <v/>
      </c>
      <c r="X91">
        <f>HYPERLINK("https://klasma.github.io/Logging_1907/tillsyn/A 27170-2023 tillsynsbegäran.docx", "A 27170-2023")</f>
        <v/>
      </c>
      <c r="Y91">
        <f>HYPERLINK("https://klasma.github.io/Logging_1907/tillsynsmail/A 27170-2023 tillsynsbegäran mail.docx", "A 27170-2023")</f>
        <v/>
      </c>
    </row>
    <row r="92" ht="15" customHeight="1">
      <c r="A92" t="inlineStr">
        <is>
          <t>A 30074-2023</t>
        </is>
      </c>
      <c r="B92" s="1" t="n">
        <v>45110</v>
      </c>
      <c r="C92" s="1" t="n">
        <v>45732</v>
      </c>
      <c r="D92" t="inlineStr">
        <is>
          <t>VÄSTMANLANDS LÄN</t>
        </is>
      </c>
      <c r="E92" t="inlineStr">
        <is>
          <t>SURAHAMMAR</t>
        </is>
      </c>
      <c r="F92" t="inlineStr">
        <is>
          <t>Sveaskog</t>
        </is>
      </c>
      <c r="G92" t="n">
        <v>1.1</v>
      </c>
      <c r="H92" t="n">
        <v>1</v>
      </c>
      <c r="I92" t="n">
        <v>0</v>
      </c>
      <c r="J92" t="n">
        <v>0</v>
      </c>
      <c r="K92" t="n">
        <v>0</v>
      </c>
      <c r="L92" t="n">
        <v>0</v>
      </c>
      <c r="M92" t="n">
        <v>0</v>
      </c>
      <c r="N92" t="n">
        <v>0</v>
      </c>
      <c r="O92" t="n">
        <v>0</v>
      </c>
      <c r="P92" t="n">
        <v>0</v>
      </c>
      <c r="Q92" t="n">
        <v>1</v>
      </c>
      <c r="R92" s="2" t="inlineStr">
        <is>
          <t>Revlummer</t>
        </is>
      </c>
      <c r="S92">
        <f>HYPERLINK("https://klasma.github.io/Logging_1907/artfynd/A 30074-2023 artfynd.xlsx", "A 30074-2023")</f>
        <v/>
      </c>
      <c r="T92">
        <f>HYPERLINK("https://klasma.github.io/Logging_1907/kartor/A 30074-2023 karta.png", "A 30074-2023")</f>
        <v/>
      </c>
      <c r="V92">
        <f>HYPERLINK("https://klasma.github.io/Logging_1907/klagomål/A 30074-2023 FSC-klagomål.docx", "A 30074-2023")</f>
        <v/>
      </c>
      <c r="W92">
        <f>HYPERLINK("https://klasma.github.io/Logging_1907/klagomålsmail/A 30074-2023 FSC-klagomål mail.docx", "A 30074-2023")</f>
        <v/>
      </c>
      <c r="X92">
        <f>HYPERLINK("https://klasma.github.io/Logging_1907/tillsyn/A 30074-2023 tillsynsbegäran.docx", "A 30074-2023")</f>
        <v/>
      </c>
      <c r="Y92">
        <f>HYPERLINK("https://klasma.github.io/Logging_1907/tillsynsmail/A 30074-2023 tillsynsbegäran mail.docx", "A 30074-2023")</f>
        <v/>
      </c>
    </row>
    <row r="93" ht="15" customHeight="1">
      <c r="A93" t="inlineStr">
        <is>
          <t>A 30073-2023</t>
        </is>
      </c>
      <c r="B93" s="1" t="n">
        <v>45110</v>
      </c>
      <c r="C93" s="1" t="n">
        <v>45732</v>
      </c>
      <c r="D93" t="inlineStr">
        <is>
          <t>VÄSTMANLANDS LÄN</t>
        </is>
      </c>
      <c r="E93" t="inlineStr">
        <is>
          <t>SURAHAMMAR</t>
        </is>
      </c>
      <c r="F93" t="inlineStr">
        <is>
          <t>Sveaskog</t>
        </is>
      </c>
      <c r="G93" t="n">
        <v>4.7</v>
      </c>
      <c r="H93" t="n">
        <v>0</v>
      </c>
      <c r="I93" t="n">
        <v>1</v>
      </c>
      <c r="J93" t="n">
        <v>0</v>
      </c>
      <c r="K93" t="n">
        <v>0</v>
      </c>
      <c r="L93" t="n">
        <v>0</v>
      </c>
      <c r="M93" t="n">
        <v>0</v>
      </c>
      <c r="N93" t="n">
        <v>0</v>
      </c>
      <c r="O93" t="n">
        <v>0</v>
      </c>
      <c r="P93" t="n">
        <v>0</v>
      </c>
      <c r="Q93" t="n">
        <v>1</v>
      </c>
      <c r="R93" s="2" t="inlineStr">
        <is>
          <t>Grönpyrola</t>
        </is>
      </c>
      <c r="S93">
        <f>HYPERLINK("https://klasma.github.io/Logging_1907/artfynd/A 30073-2023 artfynd.xlsx", "A 30073-2023")</f>
        <v/>
      </c>
      <c r="T93">
        <f>HYPERLINK("https://klasma.github.io/Logging_1907/kartor/A 30073-2023 karta.png", "A 30073-2023")</f>
        <v/>
      </c>
      <c r="V93">
        <f>HYPERLINK("https://klasma.github.io/Logging_1907/klagomål/A 30073-2023 FSC-klagomål.docx", "A 30073-2023")</f>
        <v/>
      </c>
      <c r="W93">
        <f>HYPERLINK("https://klasma.github.io/Logging_1907/klagomålsmail/A 30073-2023 FSC-klagomål mail.docx", "A 30073-2023")</f>
        <v/>
      </c>
      <c r="X93">
        <f>HYPERLINK("https://klasma.github.io/Logging_1907/tillsyn/A 30073-2023 tillsynsbegäran.docx", "A 30073-2023")</f>
        <v/>
      </c>
      <c r="Y93">
        <f>HYPERLINK("https://klasma.github.io/Logging_1907/tillsynsmail/A 30073-2023 tillsynsbegäran mail.docx", "A 30073-2023")</f>
        <v/>
      </c>
    </row>
    <row r="94" ht="15" customHeight="1">
      <c r="A94" t="inlineStr">
        <is>
          <t>A 37277-2023</t>
        </is>
      </c>
      <c r="B94" s="1" t="n">
        <v>45156</v>
      </c>
      <c r="C94" s="1" t="n">
        <v>45732</v>
      </c>
      <c r="D94" t="inlineStr">
        <is>
          <t>VÄSTMANLANDS LÄN</t>
        </is>
      </c>
      <c r="E94" t="inlineStr">
        <is>
          <t>SURAHAMMAR</t>
        </is>
      </c>
      <c r="G94" t="n">
        <v>4.3</v>
      </c>
      <c r="H94" t="n">
        <v>1</v>
      </c>
      <c r="I94" t="n">
        <v>0</v>
      </c>
      <c r="J94" t="n">
        <v>0</v>
      </c>
      <c r="K94" t="n">
        <v>1</v>
      </c>
      <c r="L94" t="n">
        <v>0</v>
      </c>
      <c r="M94" t="n">
        <v>0</v>
      </c>
      <c r="N94" t="n">
        <v>0</v>
      </c>
      <c r="O94" t="n">
        <v>1</v>
      </c>
      <c r="P94" t="n">
        <v>1</v>
      </c>
      <c r="Q94" t="n">
        <v>1</v>
      </c>
      <c r="R94" s="2" t="inlineStr">
        <is>
          <t>Bombmurkla</t>
        </is>
      </c>
      <c r="S94">
        <f>HYPERLINK("https://klasma.github.io/Logging_1907/artfynd/A 37277-2023 artfynd.xlsx", "A 37277-2023")</f>
        <v/>
      </c>
      <c r="T94">
        <f>HYPERLINK("https://klasma.github.io/Logging_1907/kartor/A 37277-2023 karta.png", "A 37277-2023")</f>
        <v/>
      </c>
      <c r="V94">
        <f>HYPERLINK("https://klasma.github.io/Logging_1907/klagomål/A 37277-2023 FSC-klagomål.docx", "A 37277-2023")</f>
        <v/>
      </c>
      <c r="W94">
        <f>HYPERLINK("https://klasma.github.io/Logging_1907/klagomålsmail/A 37277-2023 FSC-klagomål mail.docx", "A 37277-2023")</f>
        <v/>
      </c>
      <c r="X94">
        <f>HYPERLINK("https://klasma.github.io/Logging_1907/tillsyn/A 37277-2023 tillsynsbegäran.docx", "A 37277-2023")</f>
        <v/>
      </c>
      <c r="Y94">
        <f>HYPERLINK("https://klasma.github.io/Logging_1907/tillsynsmail/A 37277-2023 tillsynsbegäran mail.docx", "A 37277-2023")</f>
        <v/>
      </c>
    </row>
    <row r="95" ht="15" customHeight="1">
      <c r="A95" t="inlineStr">
        <is>
          <t>A 41622-2023</t>
        </is>
      </c>
      <c r="B95" s="1" t="n">
        <v>45175</v>
      </c>
      <c r="C95" s="1" t="n">
        <v>45732</v>
      </c>
      <c r="D95" t="inlineStr">
        <is>
          <t>VÄSTMANLANDS LÄN</t>
        </is>
      </c>
      <c r="E95" t="inlineStr">
        <is>
          <t>SURAHAMMAR</t>
        </is>
      </c>
      <c r="G95" t="n">
        <v>0.6</v>
      </c>
      <c r="H95" t="n">
        <v>1</v>
      </c>
      <c r="I95" t="n">
        <v>0</v>
      </c>
      <c r="J95" t="n">
        <v>0</v>
      </c>
      <c r="K95" t="n">
        <v>1</v>
      </c>
      <c r="L95" t="n">
        <v>0</v>
      </c>
      <c r="M95" t="n">
        <v>0</v>
      </c>
      <c r="N95" t="n">
        <v>0</v>
      </c>
      <c r="O95" t="n">
        <v>1</v>
      </c>
      <c r="P95" t="n">
        <v>1</v>
      </c>
      <c r="Q95" t="n">
        <v>1</v>
      </c>
      <c r="R95" s="2" t="inlineStr">
        <is>
          <t>Knärot</t>
        </is>
      </c>
      <c r="S95">
        <f>HYPERLINK("https://klasma.github.io/Logging_1907/artfynd/A 41622-2023 artfynd.xlsx", "A 41622-2023")</f>
        <v/>
      </c>
      <c r="T95">
        <f>HYPERLINK("https://klasma.github.io/Logging_1907/kartor/A 41622-2023 karta.png", "A 41622-2023")</f>
        <v/>
      </c>
      <c r="U95">
        <f>HYPERLINK("https://klasma.github.io/Logging_1907/knärot/A 41622-2023 karta knärot.png", "A 41622-2023")</f>
        <v/>
      </c>
      <c r="V95">
        <f>HYPERLINK("https://klasma.github.io/Logging_1907/klagomål/A 41622-2023 FSC-klagomål.docx", "A 41622-2023")</f>
        <v/>
      </c>
      <c r="W95">
        <f>HYPERLINK("https://klasma.github.io/Logging_1907/klagomålsmail/A 41622-2023 FSC-klagomål mail.docx", "A 41622-2023")</f>
        <v/>
      </c>
      <c r="X95">
        <f>HYPERLINK("https://klasma.github.io/Logging_1907/tillsyn/A 41622-2023 tillsynsbegäran.docx", "A 41622-2023")</f>
        <v/>
      </c>
      <c r="Y95">
        <f>HYPERLINK("https://klasma.github.io/Logging_1907/tillsynsmail/A 41622-2023 tillsynsbegäran mail.docx", "A 41622-2023")</f>
        <v/>
      </c>
    </row>
    <row r="96" ht="15" customHeight="1">
      <c r="A96" t="inlineStr">
        <is>
          <t>A 56362-2023</t>
        </is>
      </c>
      <c r="B96" s="1" t="n">
        <v>45236</v>
      </c>
      <c r="C96" s="1" t="n">
        <v>45732</v>
      </c>
      <c r="D96" t="inlineStr">
        <is>
          <t>VÄSTMANLANDS LÄN</t>
        </is>
      </c>
      <c r="E96" t="inlineStr">
        <is>
          <t>SURAHAMMAR</t>
        </is>
      </c>
      <c r="F96" t="inlineStr">
        <is>
          <t>Bergvik skog väst AB</t>
        </is>
      </c>
      <c r="G96" t="n">
        <v>15.2</v>
      </c>
      <c r="H96" t="n">
        <v>0</v>
      </c>
      <c r="I96" t="n">
        <v>1</v>
      </c>
      <c r="J96" t="n">
        <v>0</v>
      </c>
      <c r="K96" t="n">
        <v>0</v>
      </c>
      <c r="L96" t="n">
        <v>0</v>
      </c>
      <c r="M96" t="n">
        <v>0</v>
      </c>
      <c r="N96" t="n">
        <v>0</v>
      </c>
      <c r="O96" t="n">
        <v>0</v>
      </c>
      <c r="P96" t="n">
        <v>0</v>
      </c>
      <c r="Q96" t="n">
        <v>1</v>
      </c>
      <c r="R96" s="2" t="inlineStr">
        <is>
          <t>Grönpyrola</t>
        </is>
      </c>
      <c r="S96">
        <f>HYPERLINK("https://klasma.github.io/Logging_1907/artfynd/A 56362-2023 artfynd.xlsx", "A 56362-2023")</f>
        <v/>
      </c>
      <c r="T96">
        <f>HYPERLINK("https://klasma.github.io/Logging_1907/kartor/A 56362-2023 karta.png", "A 56362-2023")</f>
        <v/>
      </c>
      <c r="V96">
        <f>HYPERLINK("https://klasma.github.io/Logging_1907/klagomål/A 56362-2023 FSC-klagomål.docx", "A 56362-2023")</f>
        <v/>
      </c>
      <c r="W96">
        <f>HYPERLINK("https://klasma.github.io/Logging_1907/klagomålsmail/A 56362-2023 FSC-klagomål mail.docx", "A 56362-2023")</f>
        <v/>
      </c>
      <c r="X96">
        <f>HYPERLINK("https://klasma.github.io/Logging_1907/tillsyn/A 56362-2023 tillsynsbegäran.docx", "A 56362-2023")</f>
        <v/>
      </c>
      <c r="Y96">
        <f>HYPERLINK("https://klasma.github.io/Logging_1907/tillsynsmail/A 56362-2023 tillsynsbegäran mail.docx", "A 56362-2023")</f>
        <v/>
      </c>
    </row>
    <row r="97" ht="15" customHeight="1">
      <c r="A97" t="inlineStr">
        <is>
          <t>A 3649-2024</t>
        </is>
      </c>
      <c r="B97" s="1" t="n">
        <v>45321</v>
      </c>
      <c r="C97" s="1" t="n">
        <v>45732</v>
      </c>
      <c r="D97" t="inlineStr">
        <is>
          <t>VÄSTMANLANDS LÄN</t>
        </is>
      </c>
      <c r="E97" t="inlineStr">
        <is>
          <t>SURAHAMMAR</t>
        </is>
      </c>
      <c r="F97" t="inlineStr">
        <is>
          <t>Övriga Aktiebolag</t>
        </is>
      </c>
      <c r="G97" t="n">
        <v>9.300000000000001</v>
      </c>
      <c r="H97" t="n">
        <v>1</v>
      </c>
      <c r="I97" t="n">
        <v>0</v>
      </c>
      <c r="J97" t="n">
        <v>0</v>
      </c>
      <c r="K97" t="n">
        <v>1</v>
      </c>
      <c r="L97" t="n">
        <v>0</v>
      </c>
      <c r="M97" t="n">
        <v>0</v>
      </c>
      <c r="N97" t="n">
        <v>0</v>
      </c>
      <c r="O97" t="n">
        <v>1</v>
      </c>
      <c r="P97" t="n">
        <v>1</v>
      </c>
      <c r="Q97" t="n">
        <v>1</v>
      </c>
      <c r="R97" s="2" t="inlineStr">
        <is>
          <t>Väddnätfjäril</t>
        </is>
      </c>
      <c r="S97">
        <f>HYPERLINK("https://klasma.github.io/Logging_1907/artfynd/A 3649-2024 artfynd.xlsx", "A 3649-2024")</f>
        <v/>
      </c>
      <c r="T97">
        <f>HYPERLINK("https://klasma.github.io/Logging_1907/kartor/A 3649-2024 karta.png", "A 3649-2024")</f>
        <v/>
      </c>
      <c r="V97">
        <f>HYPERLINK("https://klasma.github.io/Logging_1907/klagomål/A 3649-2024 FSC-klagomål.docx", "A 3649-2024")</f>
        <v/>
      </c>
      <c r="W97">
        <f>HYPERLINK("https://klasma.github.io/Logging_1907/klagomålsmail/A 3649-2024 FSC-klagomål mail.docx", "A 3649-2024")</f>
        <v/>
      </c>
      <c r="X97">
        <f>HYPERLINK("https://klasma.github.io/Logging_1907/tillsyn/A 3649-2024 tillsynsbegäran.docx", "A 3649-2024")</f>
        <v/>
      </c>
      <c r="Y97">
        <f>HYPERLINK("https://klasma.github.io/Logging_1907/tillsynsmail/A 3649-2024 tillsynsbegäran mail.docx", "A 3649-2024")</f>
        <v/>
      </c>
    </row>
    <row r="98" ht="15" customHeight="1">
      <c r="A98" t="inlineStr">
        <is>
          <t>A 10819-2024</t>
        </is>
      </c>
      <c r="B98" s="1" t="n">
        <v>45369</v>
      </c>
      <c r="C98" s="1" t="n">
        <v>45732</v>
      </c>
      <c r="D98" t="inlineStr">
        <is>
          <t>VÄSTMANLANDS LÄN</t>
        </is>
      </c>
      <c r="E98" t="inlineStr">
        <is>
          <t>SURAHAMMAR</t>
        </is>
      </c>
      <c r="G98" t="n">
        <v>2</v>
      </c>
      <c r="H98" t="n">
        <v>0</v>
      </c>
      <c r="I98" t="n">
        <v>1</v>
      </c>
      <c r="J98" t="n">
        <v>0</v>
      </c>
      <c r="K98" t="n">
        <v>0</v>
      </c>
      <c r="L98" t="n">
        <v>0</v>
      </c>
      <c r="M98" t="n">
        <v>0</v>
      </c>
      <c r="N98" t="n">
        <v>0</v>
      </c>
      <c r="O98" t="n">
        <v>0</v>
      </c>
      <c r="P98" t="n">
        <v>0</v>
      </c>
      <c r="Q98" t="n">
        <v>1</v>
      </c>
      <c r="R98" s="2" t="inlineStr">
        <is>
          <t>Tibast</t>
        </is>
      </c>
      <c r="S98">
        <f>HYPERLINK("https://klasma.github.io/Logging_1907/artfynd/A 10819-2024 artfynd.xlsx", "A 10819-2024")</f>
        <v/>
      </c>
      <c r="T98">
        <f>HYPERLINK("https://klasma.github.io/Logging_1907/kartor/A 10819-2024 karta.png", "A 10819-2024")</f>
        <v/>
      </c>
      <c r="V98">
        <f>HYPERLINK("https://klasma.github.io/Logging_1907/klagomål/A 10819-2024 FSC-klagomål.docx", "A 10819-2024")</f>
        <v/>
      </c>
      <c r="W98">
        <f>HYPERLINK("https://klasma.github.io/Logging_1907/klagomålsmail/A 10819-2024 FSC-klagomål mail.docx", "A 10819-2024")</f>
        <v/>
      </c>
      <c r="X98">
        <f>HYPERLINK("https://klasma.github.io/Logging_1907/tillsyn/A 10819-2024 tillsynsbegäran.docx", "A 10819-2024")</f>
        <v/>
      </c>
      <c r="Y98">
        <f>HYPERLINK("https://klasma.github.io/Logging_1907/tillsynsmail/A 10819-2024 tillsynsbegäran mail.docx", "A 10819-2024")</f>
        <v/>
      </c>
    </row>
    <row r="99" ht="15" customHeight="1">
      <c r="A99" t="inlineStr">
        <is>
          <t>A 25583-2024</t>
        </is>
      </c>
      <c r="B99" s="1" t="n">
        <v>45463</v>
      </c>
      <c r="C99" s="1" t="n">
        <v>45732</v>
      </c>
      <c r="D99" t="inlineStr">
        <is>
          <t>VÄSTMANLANDS LÄN</t>
        </is>
      </c>
      <c r="E99" t="inlineStr">
        <is>
          <t>SURAHAMMAR</t>
        </is>
      </c>
      <c r="F99" t="inlineStr">
        <is>
          <t>Bergvik skog väst AB</t>
        </is>
      </c>
      <c r="G99" t="n">
        <v>7.8</v>
      </c>
      <c r="H99" t="n">
        <v>1</v>
      </c>
      <c r="I99" t="n">
        <v>0</v>
      </c>
      <c r="J99" t="n">
        <v>0</v>
      </c>
      <c r="K99" t="n">
        <v>0</v>
      </c>
      <c r="L99" t="n">
        <v>0</v>
      </c>
      <c r="M99" t="n">
        <v>0</v>
      </c>
      <c r="N99" t="n">
        <v>0</v>
      </c>
      <c r="O99" t="n">
        <v>0</v>
      </c>
      <c r="P99" t="n">
        <v>0</v>
      </c>
      <c r="Q99" t="n">
        <v>1</v>
      </c>
      <c r="R99" s="2" t="inlineStr">
        <is>
          <t>Blåsippa</t>
        </is>
      </c>
      <c r="S99">
        <f>HYPERLINK("https://klasma.github.io/Logging_1907/artfynd/A 25583-2024 artfynd.xlsx", "A 25583-2024")</f>
        <v/>
      </c>
      <c r="T99">
        <f>HYPERLINK("https://klasma.github.io/Logging_1907/kartor/A 25583-2024 karta.png", "A 25583-2024")</f>
        <v/>
      </c>
      <c r="V99">
        <f>HYPERLINK("https://klasma.github.io/Logging_1907/klagomål/A 25583-2024 FSC-klagomål.docx", "A 25583-2024")</f>
        <v/>
      </c>
      <c r="W99">
        <f>HYPERLINK("https://klasma.github.io/Logging_1907/klagomålsmail/A 25583-2024 FSC-klagomål mail.docx", "A 25583-2024")</f>
        <v/>
      </c>
      <c r="X99">
        <f>HYPERLINK("https://klasma.github.io/Logging_1907/tillsyn/A 25583-2024 tillsynsbegäran.docx", "A 25583-2024")</f>
        <v/>
      </c>
      <c r="Y99">
        <f>HYPERLINK("https://klasma.github.io/Logging_1907/tillsynsmail/A 25583-2024 tillsynsbegäran mail.docx", "A 25583-2024")</f>
        <v/>
      </c>
    </row>
    <row r="100" ht="15" customHeight="1">
      <c r="A100" t="inlineStr">
        <is>
          <t>A 27957-2024</t>
        </is>
      </c>
      <c r="B100" s="1" t="n">
        <v>45476</v>
      </c>
      <c r="C100" s="1" t="n">
        <v>45732</v>
      </c>
      <c r="D100" t="inlineStr">
        <is>
          <t>VÄSTMANLANDS LÄN</t>
        </is>
      </c>
      <c r="E100" t="inlineStr">
        <is>
          <t>SURAHAMMAR</t>
        </is>
      </c>
      <c r="F100" t="inlineStr">
        <is>
          <t>Sveaskog</t>
        </is>
      </c>
      <c r="G100" t="n">
        <v>14.4</v>
      </c>
      <c r="H100" t="n">
        <v>1</v>
      </c>
      <c r="I100" t="n">
        <v>0</v>
      </c>
      <c r="J100" t="n">
        <v>0</v>
      </c>
      <c r="K100" t="n">
        <v>0</v>
      </c>
      <c r="L100" t="n">
        <v>0</v>
      </c>
      <c r="M100" t="n">
        <v>0</v>
      </c>
      <c r="N100" t="n">
        <v>0</v>
      </c>
      <c r="O100" t="n">
        <v>0</v>
      </c>
      <c r="P100" t="n">
        <v>0</v>
      </c>
      <c r="Q100" t="n">
        <v>1</v>
      </c>
      <c r="R100" s="2" t="inlineStr">
        <is>
          <t>Fläcknycklar</t>
        </is>
      </c>
      <c r="S100">
        <f>HYPERLINK("https://klasma.github.io/Logging_1907/artfynd/A 27957-2024 artfynd.xlsx", "A 27957-2024")</f>
        <v/>
      </c>
      <c r="T100">
        <f>HYPERLINK("https://klasma.github.io/Logging_1907/kartor/A 27957-2024 karta.png", "A 27957-2024")</f>
        <v/>
      </c>
      <c r="V100">
        <f>HYPERLINK("https://klasma.github.io/Logging_1907/klagomål/A 27957-2024 FSC-klagomål.docx", "A 27957-2024")</f>
        <v/>
      </c>
      <c r="W100">
        <f>HYPERLINK("https://klasma.github.io/Logging_1907/klagomålsmail/A 27957-2024 FSC-klagomål mail.docx", "A 27957-2024")</f>
        <v/>
      </c>
      <c r="X100">
        <f>HYPERLINK("https://klasma.github.io/Logging_1907/tillsyn/A 27957-2024 tillsynsbegäran.docx", "A 27957-2024")</f>
        <v/>
      </c>
      <c r="Y100">
        <f>HYPERLINK("https://klasma.github.io/Logging_1907/tillsynsmail/A 27957-2024 tillsynsbegäran mail.docx", "A 27957-2024")</f>
        <v/>
      </c>
    </row>
    <row r="101" ht="15" customHeight="1">
      <c r="A101" t="inlineStr">
        <is>
          <t>A 29156-2024</t>
        </is>
      </c>
      <c r="B101" s="1" t="n">
        <v>45482</v>
      </c>
      <c r="C101" s="1" t="n">
        <v>45732</v>
      </c>
      <c r="D101" t="inlineStr">
        <is>
          <t>VÄSTMANLANDS LÄN</t>
        </is>
      </c>
      <c r="E101" t="inlineStr">
        <is>
          <t>SURAHAMMAR</t>
        </is>
      </c>
      <c r="F101" t="inlineStr">
        <is>
          <t>Sveaskog</t>
        </is>
      </c>
      <c r="G101" t="n">
        <v>2.6</v>
      </c>
      <c r="H101" t="n">
        <v>0</v>
      </c>
      <c r="I101" t="n">
        <v>1</v>
      </c>
      <c r="J101" t="n">
        <v>0</v>
      </c>
      <c r="K101" t="n">
        <v>0</v>
      </c>
      <c r="L101" t="n">
        <v>0</v>
      </c>
      <c r="M101" t="n">
        <v>0</v>
      </c>
      <c r="N101" t="n">
        <v>0</v>
      </c>
      <c r="O101" t="n">
        <v>0</v>
      </c>
      <c r="P101" t="n">
        <v>0</v>
      </c>
      <c r="Q101" t="n">
        <v>1</v>
      </c>
      <c r="R101" s="2" t="inlineStr">
        <is>
          <t>Fjällig taggsvamp s.str.</t>
        </is>
      </c>
      <c r="S101">
        <f>HYPERLINK("https://klasma.github.io/Logging_1907/artfynd/A 29156-2024 artfynd.xlsx", "A 29156-2024")</f>
        <v/>
      </c>
      <c r="T101">
        <f>HYPERLINK("https://klasma.github.io/Logging_1907/kartor/A 29156-2024 karta.png", "A 29156-2024")</f>
        <v/>
      </c>
      <c r="V101">
        <f>HYPERLINK("https://klasma.github.io/Logging_1907/klagomål/A 29156-2024 FSC-klagomål.docx", "A 29156-2024")</f>
        <v/>
      </c>
      <c r="W101">
        <f>HYPERLINK("https://klasma.github.io/Logging_1907/klagomålsmail/A 29156-2024 FSC-klagomål mail.docx", "A 29156-2024")</f>
        <v/>
      </c>
      <c r="X101">
        <f>HYPERLINK("https://klasma.github.io/Logging_1907/tillsyn/A 29156-2024 tillsynsbegäran.docx", "A 29156-2024")</f>
        <v/>
      </c>
      <c r="Y101">
        <f>HYPERLINK("https://klasma.github.io/Logging_1907/tillsynsmail/A 29156-2024 tillsynsbegäran mail.docx", "A 29156-2024")</f>
        <v/>
      </c>
    </row>
    <row r="102" ht="15" customHeight="1">
      <c r="A102" t="inlineStr">
        <is>
          <t>A 31176-2024</t>
        </is>
      </c>
      <c r="B102" s="1" t="n">
        <v>45503</v>
      </c>
      <c r="C102" s="1" t="n">
        <v>45732</v>
      </c>
      <c r="D102" t="inlineStr">
        <is>
          <t>VÄSTMANLANDS LÄN</t>
        </is>
      </c>
      <c r="E102" t="inlineStr">
        <is>
          <t>SURAHAMMAR</t>
        </is>
      </c>
      <c r="F102" t="inlineStr">
        <is>
          <t>Allmännings- och besparingsskogar</t>
        </is>
      </c>
      <c r="G102" t="n">
        <v>10.7</v>
      </c>
      <c r="H102" t="n">
        <v>0</v>
      </c>
      <c r="I102" t="n">
        <v>0</v>
      </c>
      <c r="J102" t="n">
        <v>1</v>
      </c>
      <c r="K102" t="n">
        <v>0</v>
      </c>
      <c r="L102" t="n">
        <v>0</v>
      </c>
      <c r="M102" t="n">
        <v>0</v>
      </c>
      <c r="N102" t="n">
        <v>0</v>
      </c>
      <c r="O102" t="n">
        <v>1</v>
      </c>
      <c r="P102" t="n">
        <v>0</v>
      </c>
      <c r="Q102" t="n">
        <v>1</v>
      </c>
      <c r="R102" s="2" t="inlineStr">
        <is>
          <t>Doftskinn</t>
        </is>
      </c>
      <c r="S102">
        <f>HYPERLINK("https://klasma.github.io/Logging_1907/artfynd/A 31176-2024 artfynd.xlsx", "A 31176-2024")</f>
        <v/>
      </c>
      <c r="T102">
        <f>HYPERLINK("https://klasma.github.io/Logging_1907/kartor/A 31176-2024 karta.png", "A 31176-2024")</f>
        <v/>
      </c>
      <c r="V102">
        <f>HYPERLINK("https://klasma.github.io/Logging_1907/klagomål/A 31176-2024 FSC-klagomål.docx", "A 31176-2024")</f>
        <v/>
      </c>
      <c r="W102">
        <f>HYPERLINK("https://klasma.github.io/Logging_1907/klagomålsmail/A 31176-2024 FSC-klagomål mail.docx", "A 31176-2024")</f>
        <v/>
      </c>
      <c r="X102">
        <f>HYPERLINK("https://klasma.github.io/Logging_1907/tillsyn/A 31176-2024 tillsynsbegäran.docx", "A 31176-2024")</f>
        <v/>
      </c>
      <c r="Y102">
        <f>HYPERLINK("https://klasma.github.io/Logging_1907/tillsynsmail/A 31176-2024 tillsynsbegäran mail.docx", "A 31176-2024")</f>
        <v/>
      </c>
    </row>
    <row r="103" ht="15" customHeight="1">
      <c r="A103" t="inlineStr">
        <is>
          <t>A 43451-2024</t>
        </is>
      </c>
      <c r="B103" s="1" t="n">
        <v>45568</v>
      </c>
      <c r="C103" s="1" t="n">
        <v>45732</v>
      </c>
      <c r="D103" t="inlineStr">
        <is>
          <t>VÄSTMANLANDS LÄN</t>
        </is>
      </c>
      <c r="E103" t="inlineStr">
        <is>
          <t>SURAHAMMAR</t>
        </is>
      </c>
      <c r="F103" t="inlineStr">
        <is>
          <t>Bergvik skog väst AB</t>
        </is>
      </c>
      <c r="G103" t="n">
        <v>2.9</v>
      </c>
      <c r="H103" t="n">
        <v>0</v>
      </c>
      <c r="I103" t="n">
        <v>0</v>
      </c>
      <c r="J103" t="n">
        <v>1</v>
      </c>
      <c r="K103" t="n">
        <v>0</v>
      </c>
      <c r="L103" t="n">
        <v>0</v>
      </c>
      <c r="M103" t="n">
        <v>0</v>
      </c>
      <c r="N103" t="n">
        <v>0</v>
      </c>
      <c r="O103" t="n">
        <v>1</v>
      </c>
      <c r="P103" t="n">
        <v>0</v>
      </c>
      <c r="Q103" t="n">
        <v>1</v>
      </c>
      <c r="R103" s="2" t="inlineStr">
        <is>
          <t>Ullticka</t>
        </is>
      </c>
      <c r="S103">
        <f>HYPERLINK("https://klasma.github.io/Logging_1907/artfynd/A 43451-2024 artfynd.xlsx", "A 43451-2024")</f>
        <v/>
      </c>
      <c r="T103">
        <f>HYPERLINK("https://klasma.github.io/Logging_1907/kartor/A 43451-2024 karta.png", "A 43451-2024")</f>
        <v/>
      </c>
      <c r="V103">
        <f>HYPERLINK("https://klasma.github.io/Logging_1907/klagomål/A 43451-2024 FSC-klagomål.docx", "A 43451-2024")</f>
        <v/>
      </c>
      <c r="W103">
        <f>HYPERLINK("https://klasma.github.io/Logging_1907/klagomålsmail/A 43451-2024 FSC-klagomål mail.docx", "A 43451-2024")</f>
        <v/>
      </c>
      <c r="X103">
        <f>HYPERLINK("https://klasma.github.io/Logging_1907/tillsyn/A 43451-2024 tillsynsbegäran.docx", "A 43451-2024")</f>
        <v/>
      </c>
      <c r="Y103">
        <f>HYPERLINK("https://klasma.github.io/Logging_1907/tillsynsmail/A 43451-2024 tillsynsbegäran mail.docx", "A 43451-2024")</f>
        <v/>
      </c>
    </row>
    <row r="104" ht="15" customHeight="1">
      <c r="A104" t="inlineStr">
        <is>
          <t>A 44356-2024</t>
        </is>
      </c>
      <c r="B104" s="1" t="n">
        <v>45573</v>
      </c>
      <c r="C104" s="1" t="n">
        <v>45732</v>
      </c>
      <c r="D104" t="inlineStr">
        <is>
          <t>VÄSTMANLANDS LÄN</t>
        </is>
      </c>
      <c r="E104" t="inlineStr">
        <is>
          <t>SURAHAMMAR</t>
        </is>
      </c>
      <c r="F104" t="inlineStr">
        <is>
          <t>Sveaskog</t>
        </is>
      </c>
      <c r="G104" t="n">
        <v>0.7</v>
      </c>
      <c r="H104" t="n">
        <v>1</v>
      </c>
      <c r="I104" t="n">
        <v>0</v>
      </c>
      <c r="J104" t="n">
        <v>0</v>
      </c>
      <c r="K104" t="n">
        <v>0</v>
      </c>
      <c r="L104" t="n">
        <v>0</v>
      </c>
      <c r="M104" t="n">
        <v>0</v>
      </c>
      <c r="N104" t="n">
        <v>0</v>
      </c>
      <c r="O104" t="n">
        <v>0</v>
      </c>
      <c r="P104" t="n">
        <v>0</v>
      </c>
      <c r="Q104" t="n">
        <v>1</v>
      </c>
      <c r="R104" s="2" t="inlineStr">
        <is>
          <t>Revlummer</t>
        </is>
      </c>
      <c r="S104">
        <f>HYPERLINK("https://klasma.github.io/Logging_1907/artfynd/A 44356-2024 artfynd.xlsx", "A 44356-2024")</f>
        <v/>
      </c>
      <c r="T104">
        <f>HYPERLINK("https://klasma.github.io/Logging_1907/kartor/A 44356-2024 karta.png", "A 44356-2024")</f>
        <v/>
      </c>
      <c r="V104">
        <f>HYPERLINK("https://klasma.github.io/Logging_1907/klagomål/A 44356-2024 FSC-klagomål.docx", "A 44356-2024")</f>
        <v/>
      </c>
      <c r="W104">
        <f>HYPERLINK("https://klasma.github.io/Logging_1907/klagomålsmail/A 44356-2024 FSC-klagomål mail.docx", "A 44356-2024")</f>
        <v/>
      </c>
      <c r="X104">
        <f>HYPERLINK("https://klasma.github.io/Logging_1907/tillsyn/A 44356-2024 tillsynsbegäran.docx", "A 44356-2024")</f>
        <v/>
      </c>
      <c r="Y104">
        <f>HYPERLINK("https://klasma.github.io/Logging_1907/tillsynsmail/A 44356-2024 tillsynsbegäran mail.docx", "A 44356-2024")</f>
        <v/>
      </c>
    </row>
    <row r="105" ht="15" customHeight="1">
      <c r="A105" t="inlineStr">
        <is>
          <t>A 44355-2024</t>
        </is>
      </c>
      <c r="B105" s="1" t="n">
        <v>45573</v>
      </c>
      <c r="C105" s="1" t="n">
        <v>45732</v>
      </c>
      <c r="D105" t="inlineStr">
        <is>
          <t>VÄSTMANLANDS LÄN</t>
        </is>
      </c>
      <c r="E105" t="inlineStr">
        <is>
          <t>SURAHAMMAR</t>
        </is>
      </c>
      <c r="F105" t="inlineStr">
        <is>
          <t>Sveaskog</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HYPERLINK("https://klasma.github.io/Logging_1907/artfynd/A 44355-2024 artfynd.xlsx", "A 44355-2024")</f>
        <v/>
      </c>
      <c r="T105">
        <f>HYPERLINK("https://klasma.github.io/Logging_1907/kartor/A 44355-2024 karta.png", "A 44355-2024")</f>
        <v/>
      </c>
      <c r="V105">
        <f>HYPERLINK("https://klasma.github.io/Logging_1907/klagomål/A 44355-2024 FSC-klagomål.docx", "A 44355-2024")</f>
        <v/>
      </c>
      <c r="W105">
        <f>HYPERLINK("https://klasma.github.io/Logging_1907/klagomålsmail/A 44355-2024 FSC-klagomål mail.docx", "A 44355-2024")</f>
        <v/>
      </c>
      <c r="X105">
        <f>HYPERLINK("https://klasma.github.io/Logging_1907/tillsyn/A 44355-2024 tillsynsbegäran.docx", "A 44355-2024")</f>
        <v/>
      </c>
      <c r="Y105">
        <f>HYPERLINK("https://klasma.github.io/Logging_1907/tillsynsmail/A 44355-2024 tillsynsbegäran mail.docx", "A 44355-2024")</f>
        <v/>
      </c>
    </row>
    <row r="106" ht="15" customHeight="1">
      <c r="A106" t="inlineStr">
        <is>
          <t>A 45735-2024</t>
        </is>
      </c>
      <c r="B106" s="1" t="n">
        <v>45579</v>
      </c>
      <c r="C106" s="1" t="n">
        <v>45732</v>
      </c>
      <c r="D106" t="inlineStr">
        <is>
          <t>VÄSTMANLANDS LÄN</t>
        </is>
      </c>
      <c r="E106" t="inlineStr">
        <is>
          <t>SURAHAMMAR</t>
        </is>
      </c>
      <c r="F106" t="inlineStr">
        <is>
          <t>Sveaskog</t>
        </is>
      </c>
      <c r="G106" t="n">
        <v>13.5</v>
      </c>
      <c r="H106" t="n">
        <v>1</v>
      </c>
      <c r="I106" t="n">
        <v>0</v>
      </c>
      <c r="J106" t="n">
        <v>0</v>
      </c>
      <c r="K106" t="n">
        <v>0</v>
      </c>
      <c r="L106" t="n">
        <v>0</v>
      </c>
      <c r="M106" t="n">
        <v>0</v>
      </c>
      <c r="N106" t="n">
        <v>0</v>
      </c>
      <c r="O106" t="n">
        <v>0</v>
      </c>
      <c r="P106" t="n">
        <v>0</v>
      </c>
      <c r="Q106" t="n">
        <v>1</v>
      </c>
      <c r="R106" s="2" t="inlineStr">
        <is>
          <t>Revlummer</t>
        </is>
      </c>
      <c r="S106">
        <f>HYPERLINK("https://klasma.github.io/Logging_1907/artfynd/A 45735-2024 artfynd.xlsx", "A 45735-2024")</f>
        <v/>
      </c>
      <c r="T106">
        <f>HYPERLINK("https://klasma.github.io/Logging_1907/kartor/A 45735-2024 karta.png", "A 45735-2024")</f>
        <v/>
      </c>
      <c r="V106">
        <f>HYPERLINK("https://klasma.github.io/Logging_1907/klagomål/A 45735-2024 FSC-klagomål.docx", "A 45735-2024")</f>
        <v/>
      </c>
      <c r="W106">
        <f>HYPERLINK("https://klasma.github.io/Logging_1907/klagomålsmail/A 45735-2024 FSC-klagomål mail.docx", "A 45735-2024")</f>
        <v/>
      </c>
      <c r="X106">
        <f>HYPERLINK("https://klasma.github.io/Logging_1907/tillsyn/A 45735-2024 tillsynsbegäran.docx", "A 45735-2024")</f>
        <v/>
      </c>
      <c r="Y106">
        <f>HYPERLINK("https://klasma.github.io/Logging_1907/tillsynsmail/A 45735-2024 tillsynsbegäran mail.docx", "A 45735-2024")</f>
        <v/>
      </c>
    </row>
    <row r="107" ht="15" customHeight="1">
      <c r="A107" t="inlineStr">
        <is>
          <t>A 62097-2024</t>
        </is>
      </c>
      <c r="B107" s="1" t="n">
        <v>45646</v>
      </c>
      <c r="C107" s="1" t="n">
        <v>45732</v>
      </c>
      <c r="D107" t="inlineStr">
        <is>
          <t>VÄSTMANLANDS LÄN</t>
        </is>
      </c>
      <c r="E107" t="inlineStr">
        <is>
          <t>SURAHAMMAR</t>
        </is>
      </c>
      <c r="F107" t="inlineStr">
        <is>
          <t>Bergvik skog väst AB</t>
        </is>
      </c>
      <c r="G107" t="n">
        <v>21.7</v>
      </c>
      <c r="H107" t="n">
        <v>1</v>
      </c>
      <c r="I107" t="n">
        <v>0</v>
      </c>
      <c r="J107" t="n">
        <v>0</v>
      </c>
      <c r="K107" t="n">
        <v>0</v>
      </c>
      <c r="L107" t="n">
        <v>0</v>
      </c>
      <c r="M107" t="n">
        <v>0</v>
      </c>
      <c r="N107" t="n">
        <v>0</v>
      </c>
      <c r="O107" t="n">
        <v>0</v>
      </c>
      <c r="P107" t="n">
        <v>0</v>
      </c>
      <c r="Q107" t="n">
        <v>1</v>
      </c>
      <c r="R107" s="2" t="inlineStr">
        <is>
          <t>Revlummer</t>
        </is>
      </c>
      <c r="S107">
        <f>HYPERLINK("https://klasma.github.io/Logging_1907/artfynd/A 62097-2024 artfynd.xlsx", "A 62097-2024")</f>
        <v/>
      </c>
      <c r="T107">
        <f>HYPERLINK("https://klasma.github.io/Logging_1907/kartor/A 62097-2024 karta.png", "A 62097-2024")</f>
        <v/>
      </c>
      <c r="V107">
        <f>HYPERLINK("https://klasma.github.io/Logging_1907/klagomål/A 62097-2024 FSC-klagomål.docx", "A 62097-2024")</f>
        <v/>
      </c>
      <c r="W107">
        <f>HYPERLINK("https://klasma.github.io/Logging_1907/klagomålsmail/A 62097-2024 FSC-klagomål mail.docx", "A 62097-2024")</f>
        <v/>
      </c>
      <c r="X107">
        <f>HYPERLINK("https://klasma.github.io/Logging_1907/tillsyn/A 62097-2024 tillsynsbegäran.docx", "A 62097-2024")</f>
        <v/>
      </c>
      <c r="Y107">
        <f>HYPERLINK("https://klasma.github.io/Logging_1907/tillsynsmail/A 62097-2024 tillsynsbegäran mail.docx", "A 62097-2024")</f>
        <v/>
      </c>
    </row>
    <row r="108" ht="15" customHeight="1">
      <c r="A108" t="inlineStr">
        <is>
          <t>A 17946-2019</t>
        </is>
      </c>
      <c r="B108" s="1" t="n">
        <v>43557</v>
      </c>
      <c r="C108" s="1" t="n">
        <v>45732</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45732</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45732</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45732</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45732</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45732</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45732</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45732</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45732</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45732</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45732</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45732</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45732</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45732</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45732</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45732</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45732</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45732</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45732</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45732</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45732</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45732</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45732</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45732</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45732</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45732</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45732</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45732</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45732</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45732</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45732</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45732</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45732</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45732</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45732</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45732</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45732</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45732</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45732</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45732</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45732</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45732</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45732</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45732</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45732</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45732</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45732</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45732</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45732</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45732</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45732</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45732</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45732</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45732</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45732</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45732</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45732</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45732</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45732</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45732</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45732</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45732</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45732</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45732</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45732</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45732</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45732</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45732</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45732</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45732</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45732</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45732</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45732</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45732</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45732</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45732</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45732</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45732</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45732</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45732</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45732</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45732</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45732</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45732</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45732</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45732</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45732</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45732</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45732</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45732</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45732</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45732</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45732</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45732</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45732</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45732</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45732</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45732</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45732</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45732</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45732</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45732</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45732</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45732</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45732</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45732</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45732</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45732</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45732</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45732</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45732</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45732</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45732</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45732</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45732</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45732</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45732</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45732</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45732</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45732</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45732</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45732</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45732</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45732</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45732</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45732</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45732</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45732</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45732</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45732</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45732</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45732</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45732</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45732</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45732</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45732</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45732</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45732</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45732</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45732</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45732</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45732</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45732</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45732</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45732</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45732</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45732</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45732</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45732</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45732</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45732</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45732</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45732</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45732</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45732</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45732</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45732</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45732</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45732</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45732</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45732</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45732</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45732</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45732</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45732</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45732</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45732</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45732</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45732</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45732</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45732</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45732</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45732</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45732</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45732</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45732</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45732</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45732</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45732</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45732</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45732</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45732</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45732</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45732</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45732</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45732</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45732</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ht="15" customHeight="1">
      <c r="A295" t="inlineStr">
        <is>
          <t>A 60030-2024</t>
        </is>
      </c>
      <c r="B295" s="1" t="n">
        <v>45642</v>
      </c>
      <c r="C295" s="1" t="n">
        <v>45732</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row r="296">
      <c r="A296" t="inlineStr">
        <is>
          <t>A 10396-2025</t>
        </is>
      </c>
      <c r="B296" s="1" t="n">
        <v>45720</v>
      </c>
      <c r="C296" s="1" t="n">
        <v>45732</v>
      </c>
      <c r="D296" t="inlineStr">
        <is>
          <t>VÄSTMANLANDS LÄN</t>
        </is>
      </c>
      <c r="E296" t="inlineStr">
        <is>
          <t>SURAHAMMAR</t>
        </is>
      </c>
      <c r="F296" t="inlineStr">
        <is>
          <t>Allmännings- och besparingsskogar</t>
        </is>
      </c>
      <c r="G296" t="n">
        <v>9.300000000000001</v>
      </c>
      <c r="H296" t="n">
        <v>0</v>
      </c>
      <c r="I296" t="n">
        <v>0</v>
      </c>
      <c r="J296" t="n">
        <v>0</v>
      </c>
      <c r="K296" t="n">
        <v>0</v>
      </c>
      <c r="L296" t="n">
        <v>0</v>
      </c>
      <c r="M296" t="n">
        <v>0</v>
      </c>
      <c r="N296" t="n">
        <v>0</v>
      </c>
      <c r="O296" t="n">
        <v>0</v>
      </c>
      <c r="P296" t="n">
        <v>0</v>
      </c>
      <c r="Q296" t="n">
        <v>0</v>
      </c>
      <c r="R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2025-03-16T17:01:05Z</dcterms:created>
  <dcterms:modified xmlns:dcterms="http://purl.org/dc/terms/" xmlns:xsi="http://www.w3.org/2001/XMLSchema-instance" xsi:type="dcterms:W3CDTF">2025-03-16T17:01:05Z</dcterms:modified>
</cp:coreProperties>
</file>