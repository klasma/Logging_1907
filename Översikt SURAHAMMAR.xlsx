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46136</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46136</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46136</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46136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46136</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46136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46136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46136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46136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46136</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46136</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46136</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46136</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46136</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46136</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46136</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10236-2026</t>
        </is>
      </c>
      <c r="B25" s="1" t="n">
        <v>46076.54277777778</v>
      </c>
      <c r="C25" s="1" t="n">
        <v>46136</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42853-2022</t>
        </is>
      </c>
      <c r="B26" s="1" t="n">
        <v>44832</v>
      </c>
      <c r="C26" s="1" t="n">
        <v>46136</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46136</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46136</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46136</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46136</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46136</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46136</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46136</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46136</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39694-2025</t>
        </is>
      </c>
      <c r="B35" s="1" t="n">
        <v>45890</v>
      </c>
      <c r="C35" s="1" t="n">
        <v>46136</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48128-2023</t>
        </is>
      </c>
      <c r="B36" s="1" t="n">
        <v>45205</v>
      </c>
      <c r="C36" s="1" t="n">
        <v>46136</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46136</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46136</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46136</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46136</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46136</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46136</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46136</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46136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46136</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46136</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46136</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46136</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46136</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46136</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46136</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46136</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46136</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13788-2025</t>
        </is>
      </c>
      <c r="B54" s="1" t="n">
        <v>45737.45327546296</v>
      </c>
      <c r="C54" s="1" t="n">
        <v>46136</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69777-2021</t>
        </is>
      </c>
      <c r="B55" s="1" t="n">
        <v>44532</v>
      </c>
      <c r="C55" s="1" t="n">
        <v>46136</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46136</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47453-2024</t>
        </is>
      </c>
      <c r="B57" s="1" t="n">
        <v>45587.55017361111</v>
      </c>
      <c r="C57" s="1" t="n">
        <v>46136</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46136</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34582-2025</t>
        </is>
      </c>
      <c r="B59" s="1" t="n">
        <v>45846</v>
      </c>
      <c r="C59" s="1" t="n">
        <v>46136</v>
      </c>
      <c r="D59" t="inlineStr">
        <is>
          <t>VÄSTMANLANDS LÄN</t>
        </is>
      </c>
      <c r="E59" t="inlineStr">
        <is>
          <t>SURAHAMMAR</t>
        </is>
      </c>
      <c r="F59" t="inlineStr">
        <is>
          <t>Bergvik skog väst AB</t>
        </is>
      </c>
      <c r="G59" t="n">
        <v>2.6</v>
      </c>
      <c r="H59" t="n">
        <v>1</v>
      </c>
      <c r="I59" t="n">
        <v>0</v>
      </c>
      <c r="J59" t="n">
        <v>1</v>
      </c>
      <c r="K59" t="n">
        <v>0</v>
      </c>
      <c r="L59" t="n">
        <v>0</v>
      </c>
      <c r="M59" t="n">
        <v>0</v>
      </c>
      <c r="N59" t="n">
        <v>0</v>
      </c>
      <c r="O59" t="n">
        <v>1</v>
      </c>
      <c r="P59" t="n">
        <v>0</v>
      </c>
      <c r="Q59" t="n">
        <v>1</v>
      </c>
      <c r="R59" s="2" t="inlineStr">
        <is>
          <t>Järpe</t>
        </is>
      </c>
      <c r="S59">
        <f>HYPERLINK("https://klasma.github.io/Logging_1907/artfynd/A 34582-2025 artfynd.xlsx", "A 34582-2025")</f>
        <v/>
      </c>
      <c r="T59">
        <f>HYPERLINK("https://klasma.github.io/Logging_1907/kartor/A 34582-2025 karta.png", "A 34582-2025")</f>
        <v/>
      </c>
      <c r="V59">
        <f>HYPERLINK("https://klasma.github.io/Logging_1907/klagomål/A 34582-2025 FSC-klagomål.docx", "A 34582-2025")</f>
        <v/>
      </c>
      <c r="W59">
        <f>HYPERLINK("https://klasma.github.io/Logging_1907/klagomålsmail/A 34582-2025 FSC-klagomål mail.docx", "A 34582-2025")</f>
        <v/>
      </c>
      <c r="X59">
        <f>HYPERLINK("https://klasma.github.io/Logging_1907/tillsyn/A 34582-2025 tillsynsbegäran.docx", "A 34582-2025")</f>
        <v/>
      </c>
      <c r="Y59">
        <f>HYPERLINK("https://klasma.github.io/Logging_1907/tillsynsmail/A 34582-2025 tillsynsbegäran mail.docx", "A 34582-2025")</f>
        <v/>
      </c>
      <c r="Z59">
        <f>HYPERLINK("https://klasma.github.io/Logging_1907/fåglar/A 34582-2025 prioriterade fågelarter.docx", "A 34582-2025")</f>
        <v/>
      </c>
    </row>
    <row r="60" ht="15" customHeight="1">
      <c r="A60" t="inlineStr">
        <is>
          <t>A 42089-2025</t>
        </is>
      </c>
      <c r="B60" s="1" t="n">
        <v>45902</v>
      </c>
      <c r="C60" s="1" t="n">
        <v>46136</v>
      </c>
      <c r="D60" t="inlineStr">
        <is>
          <t>VÄSTMANLANDS LÄN</t>
        </is>
      </c>
      <c r="E60" t="inlineStr">
        <is>
          <t>SURAHAMMAR</t>
        </is>
      </c>
      <c r="G60" t="n">
        <v>2.2</v>
      </c>
      <c r="H60" t="n">
        <v>0</v>
      </c>
      <c r="I60" t="n">
        <v>0</v>
      </c>
      <c r="J60" t="n">
        <v>1</v>
      </c>
      <c r="K60" t="n">
        <v>0</v>
      </c>
      <c r="L60" t="n">
        <v>0</v>
      </c>
      <c r="M60" t="n">
        <v>0</v>
      </c>
      <c r="N60" t="n">
        <v>0</v>
      </c>
      <c r="O60" t="n">
        <v>1</v>
      </c>
      <c r="P60" t="n">
        <v>0</v>
      </c>
      <c r="Q60" t="n">
        <v>1</v>
      </c>
      <c r="R60" s="2" t="inlineStr">
        <is>
          <t>Motaggsvamp</t>
        </is>
      </c>
      <c r="S60">
        <f>HYPERLINK("https://klasma.github.io/Logging_1907/artfynd/A 42089-2025 artfynd.xlsx", "A 42089-2025")</f>
        <v/>
      </c>
      <c r="T60">
        <f>HYPERLINK("https://klasma.github.io/Logging_1907/kartor/A 42089-2025 karta.png", "A 42089-2025")</f>
        <v/>
      </c>
      <c r="V60">
        <f>HYPERLINK("https://klasma.github.io/Logging_1907/klagomål/A 42089-2025 FSC-klagomål.docx", "A 42089-2025")</f>
        <v/>
      </c>
      <c r="W60">
        <f>HYPERLINK("https://klasma.github.io/Logging_1907/klagomålsmail/A 42089-2025 FSC-klagomål mail.docx", "A 42089-2025")</f>
        <v/>
      </c>
      <c r="X60">
        <f>HYPERLINK("https://klasma.github.io/Logging_1907/tillsyn/A 42089-2025 tillsynsbegäran.docx", "A 42089-2025")</f>
        <v/>
      </c>
      <c r="Y60">
        <f>HYPERLINK("https://klasma.github.io/Logging_1907/tillsynsmail/A 42089-2025 tillsynsbegäran mail.docx", "A 42089-2025")</f>
        <v/>
      </c>
    </row>
    <row r="61" ht="15" customHeight="1">
      <c r="A61" t="inlineStr">
        <is>
          <t>A 40411-2021</t>
        </is>
      </c>
      <c r="B61" s="1" t="n">
        <v>44419</v>
      </c>
      <c r="C61" s="1" t="n">
        <v>46136</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46136</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46136</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31176-2024</t>
        </is>
      </c>
      <c r="B64" s="1" t="n">
        <v>45503</v>
      </c>
      <c r="C64" s="1" t="n">
        <v>46136</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25583-2024</t>
        </is>
      </c>
      <c r="B65" s="1" t="n">
        <v>45463</v>
      </c>
      <c r="C65" s="1" t="n">
        <v>46136</v>
      </c>
      <c r="D65" t="inlineStr">
        <is>
          <t>VÄSTMANLANDS LÄN</t>
        </is>
      </c>
      <c r="E65" t="inlineStr">
        <is>
          <t>SURAHAMMAR</t>
        </is>
      </c>
      <c r="F65" t="inlineStr">
        <is>
          <t>Bergvik skog väst AB</t>
        </is>
      </c>
      <c r="G65" t="n">
        <v>7.8</v>
      </c>
      <c r="H65" t="n">
        <v>1</v>
      </c>
      <c r="I65" t="n">
        <v>0</v>
      </c>
      <c r="J65" t="n">
        <v>0</v>
      </c>
      <c r="K65" t="n">
        <v>0</v>
      </c>
      <c r="L65" t="n">
        <v>0</v>
      </c>
      <c r="M65" t="n">
        <v>0</v>
      </c>
      <c r="N65" t="n">
        <v>0</v>
      </c>
      <c r="O65" t="n">
        <v>0</v>
      </c>
      <c r="P65" t="n">
        <v>0</v>
      </c>
      <c r="Q65" t="n">
        <v>1</v>
      </c>
      <c r="R65" s="2" t="inlineStr">
        <is>
          <t>Blåsippa</t>
        </is>
      </c>
      <c r="S65">
        <f>HYPERLINK("https://klasma.github.io/Logging_1907/artfynd/A 25583-2024 artfynd.xlsx", "A 25583-2024")</f>
        <v/>
      </c>
      <c r="T65">
        <f>HYPERLINK("https://klasma.github.io/Logging_1907/kartor/A 25583-2024 karta.png", "A 25583-2024")</f>
        <v/>
      </c>
      <c r="V65">
        <f>HYPERLINK("https://klasma.github.io/Logging_1907/klagomål/A 25583-2024 FSC-klagomål.docx", "A 25583-2024")</f>
        <v/>
      </c>
      <c r="W65">
        <f>HYPERLINK("https://klasma.github.io/Logging_1907/klagomålsmail/A 25583-2024 FSC-klagomål mail.docx", "A 25583-2024")</f>
        <v/>
      </c>
      <c r="X65">
        <f>HYPERLINK("https://klasma.github.io/Logging_1907/tillsyn/A 25583-2024 tillsynsbegäran.docx", "A 25583-2024")</f>
        <v/>
      </c>
      <c r="Y65">
        <f>HYPERLINK("https://klasma.github.io/Logging_1907/tillsynsmail/A 25583-2024 tillsynsbegäran mail.docx", "A 25583-2024")</f>
        <v/>
      </c>
    </row>
    <row r="66" ht="15" customHeight="1">
      <c r="A66" t="inlineStr">
        <is>
          <t>A 55042-2025</t>
        </is>
      </c>
      <c r="B66" s="1" t="n">
        <v>45967.65858796296</v>
      </c>
      <c r="C66" s="1" t="n">
        <v>46136</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13971-2023</t>
        </is>
      </c>
      <c r="B67" s="1" t="n">
        <v>45007</v>
      </c>
      <c r="C67" s="1" t="n">
        <v>46136</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46136</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55871-2025</t>
        </is>
      </c>
      <c r="B69" s="1" t="n">
        <v>45973.35452546296</v>
      </c>
      <c r="C69" s="1" t="n">
        <v>46136</v>
      </c>
      <c r="D69" t="inlineStr">
        <is>
          <t>VÄSTMANLANDS LÄN</t>
        </is>
      </c>
      <c r="E69" t="inlineStr">
        <is>
          <t>SURAHAMMAR</t>
        </is>
      </c>
      <c r="F69" t="inlineStr">
        <is>
          <t>Sveaskog</t>
        </is>
      </c>
      <c r="G69" t="n">
        <v>1.4</v>
      </c>
      <c r="H69" t="n">
        <v>1</v>
      </c>
      <c r="I69" t="n">
        <v>0</v>
      </c>
      <c r="J69" t="n">
        <v>0</v>
      </c>
      <c r="K69" t="n">
        <v>0</v>
      </c>
      <c r="L69" t="n">
        <v>0</v>
      </c>
      <c r="M69" t="n">
        <v>0</v>
      </c>
      <c r="N69" t="n">
        <v>0</v>
      </c>
      <c r="O69" t="n">
        <v>0</v>
      </c>
      <c r="P69" t="n">
        <v>0</v>
      </c>
      <c r="Q69" t="n">
        <v>1</v>
      </c>
      <c r="R69" s="2" t="inlineStr">
        <is>
          <t>Lopplummer (aggregat)</t>
        </is>
      </c>
      <c r="S69">
        <f>HYPERLINK("https://klasma.github.io/Logging_1907/artfynd/A 55871-2025 artfynd.xlsx", "A 55871-2025")</f>
        <v/>
      </c>
      <c r="T69">
        <f>HYPERLINK("https://klasma.github.io/Logging_1907/kartor/A 55871-2025 karta.png", "A 55871-2025")</f>
        <v/>
      </c>
      <c r="V69">
        <f>HYPERLINK("https://klasma.github.io/Logging_1907/klagomål/A 55871-2025 FSC-klagomål.docx", "A 55871-2025")</f>
        <v/>
      </c>
      <c r="W69">
        <f>HYPERLINK("https://klasma.github.io/Logging_1907/klagomålsmail/A 55871-2025 FSC-klagomål mail.docx", "A 55871-2025")</f>
        <v/>
      </c>
      <c r="X69">
        <f>HYPERLINK("https://klasma.github.io/Logging_1907/tillsyn/A 55871-2025 tillsynsbegäran.docx", "A 55871-2025")</f>
        <v/>
      </c>
      <c r="Y69">
        <f>HYPERLINK("https://klasma.github.io/Logging_1907/tillsynsmail/A 55871-2025 tillsynsbegäran mail.docx", "A 55871-2025")</f>
        <v/>
      </c>
    </row>
    <row r="70" ht="15" customHeight="1">
      <c r="A70" t="inlineStr">
        <is>
          <t>A 44356-2024</t>
        </is>
      </c>
      <c r="B70" s="1" t="n">
        <v>45573</v>
      </c>
      <c r="C70" s="1" t="n">
        <v>46136</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56768-2025</t>
        </is>
      </c>
      <c r="B71" s="1" t="n">
        <v>45978</v>
      </c>
      <c r="C71" s="1" t="n">
        <v>46136</v>
      </c>
      <c r="D71" t="inlineStr">
        <is>
          <t>VÄSTMANLANDS LÄN</t>
        </is>
      </c>
      <c r="E71" t="inlineStr">
        <is>
          <t>SURAHAMMAR</t>
        </is>
      </c>
      <c r="F71" t="inlineStr">
        <is>
          <t>Sveaskog</t>
        </is>
      </c>
      <c r="G71" t="n">
        <v>3.8</v>
      </c>
      <c r="H71" t="n">
        <v>0</v>
      </c>
      <c r="I71" t="n">
        <v>0</v>
      </c>
      <c r="J71" t="n">
        <v>1</v>
      </c>
      <c r="K71" t="n">
        <v>0</v>
      </c>
      <c r="L71" t="n">
        <v>0</v>
      </c>
      <c r="M71" t="n">
        <v>0</v>
      </c>
      <c r="N71" t="n">
        <v>0</v>
      </c>
      <c r="O71" t="n">
        <v>1</v>
      </c>
      <c r="P71" t="n">
        <v>0</v>
      </c>
      <c r="Q71" t="n">
        <v>1</v>
      </c>
      <c r="R71" s="2" t="inlineStr">
        <is>
          <t>Motaggsvamp</t>
        </is>
      </c>
      <c r="S71">
        <f>HYPERLINK("https://klasma.github.io/Logging_1907/artfynd/A 56768-2025 artfynd.xlsx", "A 56768-2025")</f>
        <v/>
      </c>
      <c r="T71">
        <f>HYPERLINK("https://klasma.github.io/Logging_1907/kartor/A 56768-2025 karta.png", "A 56768-2025")</f>
        <v/>
      </c>
      <c r="V71">
        <f>HYPERLINK("https://klasma.github.io/Logging_1907/klagomål/A 56768-2025 FSC-klagomål.docx", "A 56768-2025")</f>
        <v/>
      </c>
      <c r="W71">
        <f>HYPERLINK("https://klasma.github.io/Logging_1907/klagomålsmail/A 56768-2025 FSC-klagomål mail.docx", "A 56768-2025")</f>
        <v/>
      </c>
      <c r="X71">
        <f>HYPERLINK("https://klasma.github.io/Logging_1907/tillsyn/A 56768-2025 tillsynsbegäran.docx", "A 56768-2025")</f>
        <v/>
      </c>
      <c r="Y71">
        <f>HYPERLINK("https://klasma.github.io/Logging_1907/tillsynsmail/A 56768-2025 tillsynsbegäran mail.docx", "A 56768-2025")</f>
        <v/>
      </c>
    </row>
    <row r="72" ht="15" customHeight="1">
      <c r="A72" t="inlineStr">
        <is>
          <t>A 63145-2025</t>
        </is>
      </c>
      <c r="B72" s="1" t="n">
        <v>46009</v>
      </c>
      <c r="C72" s="1" t="n">
        <v>46136</v>
      </c>
      <c r="D72" t="inlineStr">
        <is>
          <t>VÄSTMANLANDS LÄN</t>
        </is>
      </c>
      <c r="E72" t="inlineStr">
        <is>
          <t>SURAHAMMAR</t>
        </is>
      </c>
      <c r="F72" t="inlineStr">
        <is>
          <t>Bergvik skog väst AB</t>
        </is>
      </c>
      <c r="G72" t="n">
        <v>40.5</v>
      </c>
      <c r="H72" t="n">
        <v>0</v>
      </c>
      <c r="I72" t="n">
        <v>1</v>
      </c>
      <c r="J72" t="n">
        <v>0</v>
      </c>
      <c r="K72" t="n">
        <v>0</v>
      </c>
      <c r="L72" t="n">
        <v>0</v>
      </c>
      <c r="M72" t="n">
        <v>0</v>
      </c>
      <c r="N72" t="n">
        <v>0</v>
      </c>
      <c r="O72" t="n">
        <v>0</v>
      </c>
      <c r="P72" t="n">
        <v>0</v>
      </c>
      <c r="Q72" t="n">
        <v>1</v>
      </c>
      <c r="R72" s="2" t="inlineStr">
        <is>
          <t>Svart trolldruva</t>
        </is>
      </c>
      <c r="S72">
        <f>HYPERLINK("https://klasma.github.io/Logging_1907/artfynd/A 63145-2025 artfynd.xlsx", "A 63145-2025")</f>
        <v/>
      </c>
      <c r="T72">
        <f>HYPERLINK("https://klasma.github.io/Logging_1907/kartor/A 63145-2025 karta.png", "A 63145-2025")</f>
        <v/>
      </c>
      <c r="V72">
        <f>HYPERLINK("https://klasma.github.io/Logging_1907/klagomål/A 63145-2025 FSC-klagomål.docx", "A 63145-2025")</f>
        <v/>
      </c>
      <c r="W72">
        <f>HYPERLINK("https://klasma.github.io/Logging_1907/klagomålsmail/A 63145-2025 FSC-klagomål mail.docx", "A 63145-2025")</f>
        <v/>
      </c>
      <c r="X72">
        <f>HYPERLINK("https://klasma.github.io/Logging_1907/tillsyn/A 63145-2025 tillsynsbegäran.docx", "A 63145-2025")</f>
        <v/>
      </c>
      <c r="Y72">
        <f>HYPERLINK("https://klasma.github.io/Logging_1907/tillsynsmail/A 63145-2025 tillsynsbegäran mail.docx", "A 63145-2025")</f>
        <v/>
      </c>
    </row>
    <row r="73" ht="15" customHeight="1">
      <c r="A73" t="inlineStr">
        <is>
          <t>A 17632-2022</t>
        </is>
      </c>
      <c r="B73" s="1" t="n">
        <v>44680</v>
      </c>
      <c r="C73" s="1" t="n">
        <v>46136</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22840-2023</t>
        </is>
      </c>
      <c r="B74" s="1" t="n">
        <v>45072</v>
      </c>
      <c r="C74" s="1" t="n">
        <v>46136</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43451-2024</t>
        </is>
      </c>
      <c r="B75" s="1" t="n">
        <v>45568</v>
      </c>
      <c r="C75" s="1" t="n">
        <v>46136</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46136</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46136</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46136</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46136</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46136</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46136</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46136</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46136</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46136</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46136</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46136</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46136</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46136</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46136</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46136</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46136</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46136</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24158-2023</t>
        </is>
      </c>
      <c r="B93" s="1" t="n">
        <v>45079</v>
      </c>
      <c r="C93" s="1" t="n">
        <v>46136</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46136</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46136</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46136</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46136</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4724-2026</t>
        </is>
      </c>
      <c r="B98" s="1" t="n">
        <v>46048</v>
      </c>
      <c r="C98" s="1" t="n">
        <v>46136</v>
      </c>
      <c r="D98" t="inlineStr">
        <is>
          <t>VÄSTMANLANDS LÄN</t>
        </is>
      </c>
      <c r="E98" t="inlineStr">
        <is>
          <t>SURAHAMMAR</t>
        </is>
      </c>
      <c r="G98" t="n">
        <v>1.7</v>
      </c>
      <c r="H98" t="n">
        <v>0</v>
      </c>
      <c r="I98" t="n">
        <v>0</v>
      </c>
      <c r="J98" t="n">
        <v>0</v>
      </c>
      <c r="K98" t="n">
        <v>0</v>
      </c>
      <c r="L98" t="n">
        <v>0</v>
      </c>
      <c r="M98" t="n">
        <v>0</v>
      </c>
      <c r="N98" t="n">
        <v>0</v>
      </c>
      <c r="O98" t="n">
        <v>0</v>
      </c>
      <c r="P98" t="n">
        <v>0</v>
      </c>
      <c r="Q98" t="n">
        <v>0</v>
      </c>
      <c r="R98" s="2" t="inlineStr"/>
    </row>
    <row r="99" ht="15" customHeight="1">
      <c r="A99" t="inlineStr">
        <is>
          <t>A 4734-2026</t>
        </is>
      </c>
      <c r="B99" s="1" t="n">
        <v>46048</v>
      </c>
      <c r="C99" s="1" t="n">
        <v>46136</v>
      </c>
      <c r="D99" t="inlineStr">
        <is>
          <t>VÄSTMANLANDS LÄN</t>
        </is>
      </c>
      <c r="E99" t="inlineStr">
        <is>
          <t>SURAHAMMAR</t>
        </is>
      </c>
      <c r="G99" t="n">
        <v>0.7</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46136</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19782-2023</t>
        </is>
      </c>
      <c r="B101" s="1" t="n">
        <v>45050</v>
      </c>
      <c r="C101" s="1" t="n">
        <v>46136</v>
      </c>
      <c r="D101" t="inlineStr">
        <is>
          <t>VÄSTMANLANDS LÄN</t>
        </is>
      </c>
      <c r="E101" t="inlineStr">
        <is>
          <t>SURAHAMMAR</t>
        </is>
      </c>
      <c r="F101" t="inlineStr">
        <is>
          <t>Bergvik skog väst AB</t>
        </is>
      </c>
      <c r="G101" t="n">
        <v>5.2</v>
      </c>
      <c r="H101" t="n">
        <v>0</v>
      </c>
      <c r="I101" t="n">
        <v>0</v>
      </c>
      <c r="J101" t="n">
        <v>0</v>
      </c>
      <c r="K101" t="n">
        <v>0</v>
      </c>
      <c r="L101" t="n">
        <v>0</v>
      </c>
      <c r="M101" t="n">
        <v>0</v>
      </c>
      <c r="N101" t="n">
        <v>0</v>
      </c>
      <c r="O101" t="n">
        <v>0</v>
      </c>
      <c r="P101" t="n">
        <v>0</v>
      </c>
      <c r="Q101" t="n">
        <v>0</v>
      </c>
      <c r="R101" s="2" t="inlineStr"/>
    </row>
    <row r="102" ht="15" customHeight="1">
      <c r="A102" t="inlineStr">
        <is>
          <t>A 5698-2026</t>
        </is>
      </c>
      <c r="B102" s="1" t="n">
        <v>46051.50196759259</v>
      </c>
      <c r="C102" s="1" t="n">
        <v>46136</v>
      </c>
      <c r="D102" t="inlineStr">
        <is>
          <t>VÄSTMANLANDS LÄN</t>
        </is>
      </c>
      <c r="E102" t="inlineStr">
        <is>
          <t>SURAHAMMAR</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5696-2026</t>
        </is>
      </c>
      <c r="B103" s="1" t="n">
        <v>46051.4975</v>
      </c>
      <c r="C103" s="1" t="n">
        <v>46136</v>
      </c>
      <c r="D103" t="inlineStr">
        <is>
          <t>VÄSTMANLANDS LÄN</t>
        </is>
      </c>
      <c r="E103" t="inlineStr">
        <is>
          <t>SURAHAMMAR</t>
        </is>
      </c>
      <c r="F103" t="inlineStr">
        <is>
          <t>Sveaskog</t>
        </is>
      </c>
      <c r="G103" t="n">
        <v>10.4</v>
      </c>
      <c r="H103" t="n">
        <v>0</v>
      </c>
      <c r="I103" t="n">
        <v>0</v>
      </c>
      <c r="J103" t="n">
        <v>0</v>
      </c>
      <c r="K103" t="n">
        <v>0</v>
      </c>
      <c r="L103" t="n">
        <v>0</v>
      </c>
      <c r="M103" t="n">
        <v>0</v>
      </c>
      <c r="N103" t="n">
        <v>0</v>
      </c>
      <c r="O103" t="n">
        <v>0</v>
      </c>
      <c r="P103" t="n">
        <v>0</v>
      </c>
      <c r="Q103" t="n">
        <v>0</v>
      </c>
      <c r="R103" s="2" t="inlineStr"/>
    </row>
    <row r="104" ht="15" customHeight="1">
      <c r="A104" t="inlineStr">
        <is>
          <t>A 5697-2026</t>
        </is>
      </c>
      <c r="B104" s="1" t="n">
        <v>46051.50020833333</v>
      </c>
      <c r="C104" s="1" t="n">
        <v>46136</v>
      </c>
      <c r="D104" t="inlineStr">
        <is>
          <t>VÄSTMANLANDS LÄN</t>
        </is>
      </c>
      <c r="E104" t="inlineStr">
        <is>
          <t>SURAHAMMAR</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46136</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46136</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56378-2023</t>
        </is>
      </c>
      <c r="B107" s="1" t="n">
        <v>45236</v>
      </c>
      <c r="C107" s="1" t="n">
        <v>46136</v>
      </c>
      <c r="D107" t="inlineStr">
        <is>
          <t>VÄSTMANLANDS LÄN</t>
        </is>
      </c>
      <c r="E107" t="inlineStr">
        <is>
          <t>SURAHAMMAR</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11728-2023</t>
        </is>
      </c>
      <c r="B108" s="1" t="n">
        <v>44993</v>
      </c>
      <c r="C108" s="1" t="n">
        <v>46136</v>
      </c>
      <c r="D108" t="inlineStr">
        <is>
          <t>VÄSTMANLANDS LÄN</t>
        </is>
      </c>
      <c r="E108" t="inlineStr">
        <is>
          <t>SURAHAMMAR</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11501-2023</t>
        </is>
      </c>
      <c r="B109" s="1" t="n">
        <v>44991</v>
      </c>
      <c r="C109" s="1" t="n">
        <v>46136</v>
      </c>
      <c r="D109" t="inlineStr">
        <is>
          <t>VÄSTMANLANDS LÄN</t>
        </is>
      </c>
      <c r="E109" t="inlineStr">
        <is>
          <t>SURAHAMMAR</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16013-2023</t>
        </is>
      </c>
      <c r="B110" s="1" t="n">
        <v>45026</v>
      </c>
      <c r="C110" s="1" t="n">
        <v>46136</v>
      </c>
      <c r="D110" t="inlineStr">
        <is>
          <t>VÄSTMANLANDS LÄN</t>
        </is>
      </c>
      <c r="E110" t="inlineStr">
        <is>
          <t>SURAHAMMAR</t>
        </is>
      </c>
      <c r="G110" t="n">
        <v>3.9</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46136</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46136</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42829-2022</t>
        </is>
      </c>
      <c r="B113" s="1" t="n">
        <v>44832</v>
      </c>
      <c r="C113" s="1" t="n">
        <v>46136</v>
      </c>
      <c r="D113" t="inlineStr">
        <is>
          <t>VÄSTMANLANDS LÄN</t>
        </is>
      </c>
      <c r="E113" t="inlineStr">
        <is>
          <t>SURAHAMMAR</t>
        </is>
      </c>
      <c r="G113" t="n">
        <v>1.6</v>
      </c>
      <c r="H113" t="n">
        <v>0</v>
      </c>
      <c r="I113" t="n">
        <v>0</v>
      </c>
      <c r="J113" t="n">
        <v>0</v>
      </c>
      <c r="K113" t="n">
        <v>0</v>
      </c>
      <c r="L113" t="n">
        <v>0</v>
      </c>
      <c r="M113" t="n">
        <v>0</v>
      </c>
      <c r="N113" t="n">
        <v>0</v>
      </c>
      <c r="O113" t="n">
        <v>0</v>
      </c>
      <c r="P113" t="n">
        <v>0</v>
      </c>
      <c r="Q113" t="n">
        <v>0</v>
      </c>
      <c r="R113" s="2" t="inlineStr"/>
    </row>
    <row r="114" ht="15" customHeight="1">
      <c r="A114" t="inlineStr">
        <is>
          <t>A 42088-2025</t>
        </is>
      </c>
      <c r="B114" s="1" t="n">
        <v>45902</v>
      </c>
      <c r="C114" s="1" t="n">
        <v>46136</v>
      </c>
      <c r="D114" t="inlineStr">
        <is>
          <t>VÄSTMANLANDS LÄN</t>
        </is>
      </c>
      <c r="E114" t="inlineStr">
        <is>
          <t>SURAHAMMAR</t>
        </is>
      </c>
      <c r="G114" t="n">
        <v>1</v>
      </c>
      <c r="H114" t="n">
        <v>0</v>
      </c>
      <c r="I114" t="n">
        <v>0</v>
      </c>
      <c r="J114" t="n">
        <v>0</v>
      </c>
      <c r="K114" t="n">
        <v>0</v>
      </c>
      <c r="L114" t="n">
        <v>0</v>
      </c>
      <c r="M114" t="n">
        <v>0</v>
      </c>
      <c r="N114" t="n">
        <v>0</v>
      </c>
      <c r="O114" t="n">
        <v>0</v>
      </c>
      <c r="P114" t="n">
        <v>0</v>
      </c>
      <c r="Q114" t="n">
        <v>0</v>
      </c>
      <c r="R114" s="2" t="inlineStr"/>
    </row>
    <row r="115" ht="15" customHeight="1">
      <c r="A115" t="inlineStr">
        <is>
          <t>A 32910-2025</t>
        </is>
      </c>
      <c r="B115" s="1" t="n">
        <v>45839</v>
      </c>
      <c r="C115" s="1" t="n">
        <v>46136</v>
      </c>
      <c r="D115" t="inlineStr">
        <is>
          <t>VÄSTMANLANDS LÄN</t>
        </is>
      </c>
      <c r="E115" t="inlineStr">
        <is>
          <t>SURAHAMMAR</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32916-2025</t>
        </is>
      </c>
      <c r="B116" s="1" t="n">
        <v>45839</v>
      </c>
      <c r="C116" s="1" t="n">
        <v>46136</v>
      </c>
      <c r="D116" t="inlineStr">
        <is>
          <t>VÄSTMANLANDS LÄN</t>
        </is>
      </c>
      <c r="E116" t="inlineStr">
        <is>
          <t>SURAHAMMAR</t>
        </is>
      </c>
      <c r="F116" t="inlineStr">
        <is>
          <t>Kommuner</t>
        </is>
      </c>
      <c r="G116" t="n">
        <v>4.9</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46136</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10244-2026</t>
        </is>
      </c>
      <c r="B118" s="1" t="n">
        <v>46076.55032407407</v>
      </c>
      <c r="C118" s="1" t="n">
        <v>46136</v>
      </c>
      <c r="D118" t="inlineStr">
        <is>
          <t>VÄSTMANLANDS LÄN</t>
        </is>
      </c>
      <c r="E118" t="inlineStr">
        <is>
          <t>SURAHAMMAR</t>
        </is>
      </c>
      <c r="F118" t="inlineStr">
        <is>
          <t>Allmännings- och besparingsskogar</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37013-2025</t>
        </is>
      </c>
      <c r="B119" s="1" t="n">
        <v>45874</v>
      </c>
      <c r="C119" s="1" t="n">
        <v>46136</v>
      </c>
      <c r="D119" t="inlineStr">
        <is>
          <t>VÄSTMANLANDS LÄN</t>
        </is>
      </c>
      <c r="E119" t="inlineStr">
        <is>
          <t>SURAHAMMAR</t>
        </is>
      </c>
      <c r="F119" t="inlineStr">
        <is>
          <t>Bergvik skog väst AB</t>
        </is>
      </c>
      <c r="G119" t="n">
        <v>10.7</v>
      </c>
      <c r="H119" t="n">
        <v>0</v>
      </c>
      <c r="I119" t="n">
        <v>0</v>
      </c>
      <c r="J119" t="n">
        <v>0</v>
      </c>
      <c r="K119" t="n">
        <v>0</v>
      </c>
      <c r="L119" t="n">
        <v>0</v>
      </c>
      <c r="M119" t="n">
        <v>0</v>
      </c>
      <c r="N119" t="n">
        <v>0</v>
      </c>
      <c r="O119" t="n">
        <v>0</v>
      </c>
      <c r="P119" t="n">
        <v>0</v>
      </c>
      <c r="Q119" t="n">
        <v>0</v>
      </c>
      <c r="R119" s="2" t="inlineStr"/>
    </row>
    <row r="120" ht="15" customHeight="1">
      <c r="A120" t="inlineStr">
        <is>
          <t>A 10512-2026</t>
        </is>
      </c>
      <c r="B120" s="1" t="n">
        <v>46077.56861111111</v>
      </c>
      <c r="C120" s="1" t="n">
        <v>46136</v>
      </c>
      <c r="D120" t="inlineStr">
        <is>
          <t>VÄSTMANLANDS LÄN</t>
        </is>
      </c>
      <c r="E120" t="inlineStr">
        <is>
          <t>SURAHAMMAR</t>
        </is>
      </c>
      <c r="F120" t="inlineStr">
        <is>
          <t>Övriga Aktiebolag</t>
        </is>
      </c>
      <c r="G120" t="n">
        <v>4.3</v>
      </c>
      <c r="H120" t="n">
        <v>0</v>
      </c>
      <c r="I120" t="n">
        <v>0</v>
      </c>
      <c r="J120" t="n">
        <v>0</v>
      </c>
      <c r="K120" t="n">
        <v>0</v>
      </c>
      <c r="L120" t="n">
        <v>0</v>
      </c>
      <c r="M120" t="n">
        <v>0</v>
      </c>
      <c r="N120" t="n">
        <v>0</v>
      </c>
      <c r="O120" t="n">
        <v>0</v>
      </c>
      <c r="P120" t="n">
        <v>0</v>
      </c>
      <c r="Q120" t="n">
        <v>0</v>
      </c>
      <c r="R120" s="2" t="inlineStr"/>
    </row>
    <row r="121" ht="15" customHeight="1">
      <c r="A121" t="inlineStr">
        <is>
          <t>A 10249-2026</t>
        </is>
      </c>
      <c r="B121" s="1" t="n">
        <v>46076.55456018518</v>
      </c>
      <c r="C121" s="1" t="n">
        <v>46136</v>
      </c>
      <c r="D121" t="inlineStr">
        <is>
          <t>VÄSTMANLANDS LÄN</t>
        </is>
      </c>
      <c r="E121" t="inlineStr">
        <is>
          <t>SURAHAMMAR</t>
        </is>
      </c>
      <c r="F121" t="inlineStr">
        <is>
          <t>Allmännings- och besparingsskogar</t>
        </is>
      </c>
      <c r="G121" t="n">
        <v>4.8</v>
      </c>
      <c r="H121" t="n">
        <v>0</v>
      </c>
      <c r="I121" t="n">
        <v>0</v>
      </c>
      <c r="J121" t="n">
        <v>0</v>
      </c>
      <c r="K121" t="n">
        <v>0</v>
      </c>
      <c r="L121" t="n">
        <v>0</v>
      </c>
      <c r="M121" t="n">
        <v>0</v>
      </c>
      <c r="N121" t="n">
        <v>0</v>
      </c>
      <c r="O121" t="n">
        <v>0</v>
      </c>
      <c r="P121" t="n">
        <v>0</v>
      </c>
      <c r="Q121" t="n">
        <v>0</v>
      </c>
      <c r="R121" s="2" t="inlineStr"/>
    </row>
    <row r="122" ht="15" customHeight="1">
      <c r="A122" t="inlineStr">
        <is>
          <t>A 10562-2026</t>
        </is>
      </c>
      <c r="B122" s="1" t="n">
        <v>46077.64043981482</v>
      </c>
      <c r="C122" s="1" t="n">
        <v>46136</v>
      </c>
      <c r="D122" t="inlineStr">
        <is>
          <t>VÄSTMANLANDS LÄN</t>
        </is>
      </c>
      <c r="E122" t="inlineStr">
        <is>
          <t>SURAHAMMAR</t>
        </is>
      </c>
      <c r="F122" t="inlineStr">
        <is>
          <t>Övriga Aktiebolag</t>
        </is>
      </c>
      <c r="G122" t="n">
        <v>2.3</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46136</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46136</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46136</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33931-2022</t>
        </is>
      </c>
      <c r="B126" s="1" t="n">
        <v>44790.65153935185</v>
      </c>
      <c r="C126" s="1" t="n">
        <v>46136</v>
      </c>
      <c r="D126" t="inlineStr">
        <is>
          <t>VÄSTMANLANDS LÄN</t>
        </is>
      </c>
      <c r="E126" t="inlineStr">
        <is>
          <t>SURAHAMMAR</t>
        </is>
      </c>
      <c r="G126" t="n">
        <v>2.2</v>
      </c>
      <c r="H126" t="n">
        <v>0</v>
      </c>
      <c r="I126" t="n">
        <v>0</v>
      </c>
      <c r="J126" t="n">
        <v>0</v>
      </c>
      <c r="K126" t="n">
        <v>0</v>
      </c>
      <c r="L126" t="n">
        <v>0</v>
      </c>
      <c r="M126" t="n">
        <v>0</v>
      </c>
      <c r="N126" t="n">
        <v>0</v>
      </c>
      <c r="O126" t="n">
        <v>0</v>
      </c>
      <c r="P126" t="n">
        <v>0</v>
      </c>
      <c r="Q126" t="n">
        <v>0</v>
      </c>
      <c r="R126" s="2" t="inlineStr"/>
    </row>
    <row r="127" ht="15" customHeight="1">
      <c r="A127" t="inlineStr">
        <is>
          <t>A 10347-2026</t>
        </is>
      </c>
      <c r="B127" s="1" t="n">
        <v>46076.69101851852</v>
      </c>
      <c r="C127" s="1" t="n">
        <v>46136</v>
      </c>
      <c r="D127" t="inlineStr">
        <is>
          <t>VÄSTMANLANDS LÄN</t>
        </is>
      </c>
      <c r="E127" t="inlineStr">
        <is>
          <t>SURAHAMMAR</t>
        </is>
      </c>
      <c r="F127" t="inlineStr">
        <is>
          <t>Allmännings- och besparingsskogar</t>
        </is>
      </c>
      <c r="G127" t="n">
        <v>3</v>
      </c>
      <c r="H127" t="n">
        <v>0</v>
      </c>
      <c r="I127" t="n">
        <v>0</v>
      </c>
      <c r="J127" t="n">
        <v>0</v>
      </c>
      <c r="K127" t="n">
        <v>0</v>
      </c>
      <c r="L127" t="n">
        <v>0</v>
      </c>
      <c r="M127" t="n">
        <v>0</v>
      </c>
      <c r="N127" t="n">
        <v>0</v>
      </c>
      <c r="O127" t="n">
        <v>0</v>
      </c>
      <c r="P127" t="n">
        <v>0</v>
      </c>
      <c r="Q127" t="n">
        <v>0</v>
      </c>
      <c r="R127" s="2" t="inlineStr"/>
    </row>
    <row r="128" ht="15" customHeight="1">
      <c r="A128" t="inlineStr">
        <is>
          <t>A 43255-2025</t>
        </is>
      </c>
      <c r="B128" s="1" t="n">
        <v>45910.55325231481</v>
      </c>
      <c r="C128" s="1" t="n">
        <v>46136</v>
      </c>
      <c r="D128" t="inlineStr">
        <is>
          <t>VÄSTMANLANDS LÄN</t>
        </is>
      </c>
      <c r="E128" t="inlineStr">
        <is>
          <t>SURAHAMMAR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31107-2025</t>
        </is>
      </c>
      <c r="B129" s="1" t="n">
        <v>45831</v>
      </c>
      <c r="C129" s="1" t="n">
        <v>46136</v>
      </c>
      <c r="D129" t="inlineStr">
        <is>
          <t>VÄSTMANLANDS LÄN</t>
        </is>
      </c>
      <c r="E129" t="inlineStr">
        <is>
          <t>SURAHAMMAR</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43249-2025</t>
        </is>
      </c>
      <c r="B130" s="1" t="n">
        <v>45910.55059027778</v>
      </c>
      <c r="C130" s="1" t="n">
        <v>46136</v>
      </c>
      <c r="D130" t="inlineStr">
        <is>
          <t>VÄSTMANLANDS LÄN</t>
        </is>
      </c>
      <c r="E130" t="inlineStr">
        <is>
          <t>SURAHAMMAR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22662-2023</t>
        </is>
      </c>
      <c r="B131" s="1" t="n">
        <v>45071</v>
      </c>
      <c r="C131" s="1" t="n">
        <v>46136</v>
      </c>
      <c r="D131" t="inlineStr">
        <is>
          <t>VÄSTMANLANDS LÄN</t>
        </is>
      </c>
      <c r="E131" t="inlineStr">
        <is>
          <t>SURAHAMMAR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19246-2026</t>
        </is>
      </c>
      <c r="B132" s="1" t="n">
        <v>46132.66501157408</v>
      </c>
      <c r="C132" s="1" t="n">
        <v>46136</v>
      </c>
      <c r="D132" t="inlineStr">
        <is>
          <t>VÄSTMANLANDS LÄN</t>
        </is>
      </c>
      <c r="E132" t="inlineStr">
        <is>
          <t>SURAHAMMAR</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12841-2026</t>
        </is>
      </c>
      <c r="B133" s="1" t="n">
        <v>46091</v>
      </c>
      <c r="C133" s="1" t="n">
        <v>46136</v>
      </c>
      <c r="D133" t="inlineStr">
        <is>
          <t>VÄSTMANLANDS LÄN</t>
        </is>
      </c>
      <c r="E133" t="inlineStr">
        <is>
          <t>SURAHAMMAR</t>
        </is>
      </c>
      <c r="F133" t="inlineStr">
        <is>
          <t>Bergvik skog väst AB</t>
        </is>
      </c>
      <c r="G133" t="n">
        <v>4.3</v>
      </c>
      <c r="H133" t="n">
        <v>0</v>
      </c>
      <c r="I133" t="n">
        <v>0</v>
      </c>
      <c r="J133" t="n">
        <v>0</v>
      </c>
      <c r="K133" t="n">
        <v>0</v>
      </c>
      <c r="L133" t="n">
        <v>0</v>
      </c>
      <c r="M133" t="n">
        <v>0</v>
      </c>
      <c r="N133" t="n">
        <v>0</v>
      </c>
      <c r="O133" t="n">
        <v>0</v>
      </c>
      <c r="P133" t="n">
        <v>0</v>
      </c>
      <c r="Q133" t="n">
        <v>0</v>
      </c>
      <c r="R133" s="2" t="inlineStr"/>
    </row>
    <row r="134" ht="15" customHeight="1">
      <c r="A134" t="inlineStr">
        <is>
          <t>A 30076-2023</t>
        </is>
      </c>
      <c r="B134" s="1" t="n">
        <v>45110</v>
      </c>
      <c r="C134" s="1" t="n">
        <v>46136</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46136</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25450-2024</t>
        </is>
      </c>
      <c r="B136" s="1" t="n">
        <v>45463</v>
      </c>
      <c r="C136" s="1" t="n">
        <v>46136</v>
      </c>
      <c r="D136" t="inlineStr">
        <is>
          <t>VÄSTMANLANDS LÄN</t>
        </is>
      </c>
      <c r="E136" t="inlineStr">
        <is>
          <t>SURAHAMMAR</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10883-2023</t>
        </is>
      </c>
      <c r="B137" s="1" t="n">
        <v>44991</v>
      </c>
      <c r="C137" s="1" t="n">
        <v>46136</v>
      </c>
      <c r="D137" t="inlineStr">
        <is>
          <t>VÄSTMANLANDS LÄN</t>
        </is>
      </c>
      <c r="E137" t="inlineStr">
        <is>
          <t>SURAHAMMAR</t>
        </is>
      </c>
      <c r="F137" t="inlineStr">
        <is>
          <t>Övriga Aktiebolag</t>
        </is>
      </c>
      <c r="G137" t="n">
        <v>12.5</v>
      </c>
      <c r="H137" t="n">
        <v>0</v>
      </c>
      <c r="I137" t="n">
        <v>0</v>
      </c>
      <c r="J137" t="n">
        <v>0</v>
      </c>
      <c r="K137" t="n">
        <v>0</v>
      </c>
      <c r="L137" t="n">
        <v>0</v>
      </c>
      <c r="M137" t="n">
        <v>0</v>
      </c>
      <c r="N137" t="n">
        <v>0</v>
      </c>
      <c r="O137" t="n">
        <v>0</v>
      </c>
      <c r="P137" t="n">
        <v>0</v>
      </c>
      <c r="Q137" t="n">
        <v>0</v>
      </c>
      <c r="R137" s="2" t="inlineStr"/>
    </row>
    <row r="138" ht="15" customHeight="1">
      <c r="A138" t="inlineStr">
        <is>
          <t>A 24665-2023</t>
        </is>
      </c>
      <c r="B138" s="1" t="n">
        <v>45084.48592592592</v>
      </c>
      <c r="C138" s="1" t="n">
        <v>46136</v>
      </c>
      <c r="D138" t="inlineStr">
        <is>
          <t>VÄSTMANLANDS LÄN</t>
        </is>
      </c>
      <c r="E138" t="inlineStr">
        <is>
          <t>SURAHAMMAR</t>
        </is>
      </c>
      <c r="G138" t="n">
        <v>0.9</v>
      </c>
      <c r="H138" t="n">
        <v>0</v>
      </c>
      <c r="I138" t="n">
        <v>0</v>
      </c>
      <c r="J138" t="n">
        <v>0</v>
      </c>
      <c r="K138" t="n">
        <v>0</v>
      </c>
      <c r="L138" t="n">
        <v>0</v>
      </c>
      <c r="M138" t="n">
        <v>0</v>
      </c>
      <c r="N138" t="n">
        <v>0</v>
      </c>
      <c r="O138" t="n">
        <v>0</v>
      </c>
      <c r="P138" t="n">
        <v>0</v>
      </c>
      <c r="Q138" t="n">
        <v>0</v>
      </c>
      <c r="R138" s="2" t="inlineStr"/>
    </row>
    <row r="139" ht="15" customHeight="1">
      <c r="A139" t="inlineStr">
        <is>
          <t>A 24167-2024</t>
        </is>
      </c>
      <c r="B139" s="1" t="n">
        <v>45456</v>
      </c>
      <c r="C139" s="1" t="n">
        <v>46136</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46136</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42714-2022</t>
        </is>
      </c>
      <c r="B141" s="1" t="n">
        <v>44832</v>
      </c>
      <c r="C141" s="1" t="n">
        <v>46136</v>
      </c>
      <c r="D141" t="inlineStr">
        <is>
          <t>VÄSTMANLANDS LÄN</t>
        </is>
      </c>
      <c r="E141" t="inlineStr">
        <is>
          <t>SURAHAMMAR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37287-2023</t>
        </is>
      </c>
      <c r="B142" s="1" t="n">
        <v>45156</v>
      </c>
      <c r="C142" s="1" t="n">
        <v>46136</v>
      </c>
      <c r="D142" t="inlineStr">
        <is>
          <t>VÄSTMANLANDS LÄN</t>
        </is>
      </c>
      <c r="E142" t="inlineStr">
        <is>
          <t>SURAHAMMAR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55868-2025</t>
        </is>
      </c>
      <c r="B143" s="1" t="n">
        <v>45973.35263888889</v>
      </c>
      <c r="C143" s="1" t="n">
        <v>46136</v>
      </c>
      <c r="D143" t="inlineStr">
        <is>
          <t>VÄSTMANLANDS LÄN</t>
        </is>
      </c>
      <c r="E143" t="inlineStr">
        <is>
          <t>SURAHAMMAR</t>
        </is>
      </c>
      <c r="F143" t="inlineStr">
        <is>
          <t>Sveaskog</t>
        </is>
      </c>
      <c r="G143" t="n">
        <v>2.8</v>
      </c>
      <c r="H143" t="n">
        <v>0</v>
      </c>
      <c r="I143" t="n">
        <v>0</v>
      </c>
      <c r="J143" t="n">
        <v>0</v>
      </c>
      <c r="K143" t="n">
        <v>0</v>
      </c>
      <c r="L143" t="n">
        <v>0</v>
      </c>
      <c r="M143" t="n">
        <v>0</v>
      </c>
      <c r="N143" t="n">
        <v>0</v>
      </c>
      <c r="O143" t="n">
        <v>0</v>
      </c>
      <c r="P143" t="n">
        <v>0</v>
      </c>
      <c r="Q143" t="n">
        <v>0</v>
      </c>
      <c r="R143" s="2" t="inlineStr"/>
    </row>
    <row r="144" ht="15" customHeight="1">
      <c r="A144" t="inlineStr">
        <is>
          <t>A 55874-2025</t>
        </is>
      </c>
      <c r="B144" s="1" t="n">
        <v>45973.3569212963</v>
      </c>
      <c r="C144" s="1" t="n">
        <v>46136</v>
      </c>
      <c r="D144" t="inlineStr">
        <is>
          <t>VÄSTMANLANDS LÄN</t>
        </is>
      </c>
      <c r="E144" t="inlineStr">
        <is>
          <t>SURAHAMMAR</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46136</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55873-2025</t>
        </is>
      </c>
      <c r="B146" s="1" t="n">
        <v>45973.35608796297</v>
      </c>
      <c r="C146" s="1" t="n">
        <v>46136</v>
      </c>
      <c r="D146" t="inlineStr">
        <is>
          <t>VÄSTMANLANDS LÄN</t>
        </is>
      </c>
      <c r="E146" t="inlineStr">
        <is>
          <t>SURAHAMMAR</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49060-2024</t>
        </is>
      </c>
      <c r="B147" s="1" t="n">
        <v>45594</v>
      </c>
      <c r="C147" s="1" t="n">
        <v>46136</v>
      </c>
      <c r="D147" t="inlineStr">
        <is>
          <t>VÄSTMANLANDS LÄN</t>
        </is>
      </c>
      <c r="E147" t="inlineStr">
        <is>
          <t>SURAHAMMAR</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56543-2025</t>
        </is>
      </c>
      <c r="B148" s="1" t="n">
        <v>45975</v>
      </c>
      <c r="C148" s="1" t="n">
        <v>46136</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46136</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25780-2023</t>
        </is>
      </c>
      <c r="B150" s="1" t="n">
        <v>45090.47523148148</v>
      </c>
      <c r="C150" s="1" t="n">
        <v>46136</v>
      </c>
      <c r="D150" t="inlineStr">
        <is>
          <t>VÄSTMANLANDS LÄN</t>
        </is>
      </c>
      <c r="E150" t="inlineStr">
        <is>
          <t>SURAHAMMAR</t>
        </is>
      </c>
      <c r="G150" t="n">
        <v>2.8</v>
      </c>
      <c r="H150" t="n">
        <v>0</v>
      </c>
      <c r="I150" t="n">
        <v>0</v>
      </c>
      <c r="J150" t="n">
        <v>0</v>
      </c>
      <c r="K150" t="n">
        <v>0</v>
      </c>
      <c r="L150" t="n">
        <v>0</v>
      </c>
      <c r="M150" t="n">
        <v>0</v>
      </c>
      <c r="N150" t="n">
        <v>0</v>
      </c>
      <c r="O150" t="n">
        <v>0</v>
      </c>
      <c r="P150" t="n">
        <v>0</v>
      </c>
      <c r="Q150" t="n">
        <v>0</v>
      </c>
      <c r="R150" s="2" t="inlineStr"/>
    </row>
    <row r="151" ht="15" customHeight="1">
      <c r="A151" t="inlineStr">
        <is>
          <t>A 59399-2025</t>
        </is>
      </c>
      <c r="B151" s="1" t="n">
        <v>45989</v>
      </c>
      <c r="C151" s="1" t="n">
        <v>46136</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46136</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56541-2025</t>
        </is>
      </c>
      <c r="B153" s="1" t="n">
        <v>45975</v>
      </c>
      <c r="C153" s="1" t="n">
        <v>46136</v>
      </c>
      <c r="D153" t="inlineStr">
        <is>
          <t>VÄSTMANLANDS LÄN</t>
        </is>
      </c>
      <c r="E153" t="inlineStr">
        <is>
          <t>SURAHAMMAR</t>
        </is>
      </c>
      <c r="F153" t="inlineStr">
        <is>
          <t>Sveaskog</t>
        </is>
      </c>
      <c r="G153" t="n">
        <v>7.6</v>
      </c>
      <c r="H153" t="n">
        <v>0</v>
      </c>
      <c r="I153" t="n">
        <v>0</v>
      </c>
      <c r="J153" t="n">
        <v>0</v>
      </c>
      <c r="K153" t="n">
        <v>0</v>
      </c>
      <c r="L153" t="n">
        <v>0</v>
      </c>
      <c r="M153" t="n">
        <v>0</v>
      </c>
      <c r="N153" t="n">
        <v>0</v>
      </c>
      <c r="O153" t="n">
        <v>0</v>
      </c>
      <c r="P153" t="n">
        <v>0</v>
      </c>
      <c r="Q153" t="n">
        <v>0</v>
      </c>
      <c r="R153" s="2" t="inlineStr"/>
    </row>
    <row r="154" ht="15" customHeight="1">
      <c r="A154" t="inlineStr">
        <is>
          <t>A 35682-2022</t>
        </is>
      </c>
      <c r="B154" s="1" t="n">
        <v>44799.60422453703</v>
      </c>
      <c r="C154" s="1" t="n">
        <v>46136</v>
      </c>
      <c r="D154" t="inlineStr">
        <is>
          <t>VÄSTMANLANDS LÄN</t>
        </is>
      </c>
      <c r="E154" t="inlineStr">
        <is>
          <t>SURAHAMMAR</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2867-2024</t>
        </is>
      </c>
      <c r="B155" s="1" t="n">
        <v>45315</v>
      </c>
      <c r="C155" s="1" t="n">
        <v>46136</v>
      </c>
      <c r="D155" t="inlineStr">
        <is>
          <t>VÄSTMANLANDS LÄN</t>
        </is>
      </c>
      <c r="E155" t="inlineStr">
        <is>
          <t>SURAHAMMAR</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63138-2025</t>
        </is>
      </c>
      <c r="B156" s="1" t="n">
        <v>46009</v>
      </c>
      <c r="C156" s="1" t="n">
        <v>46136</v>
      </c>
      <c r="D156" t="inlineStr">
        <is>
          <t>VÄSTMANLANDS LÄN</t>
        </is>
      </c>
      <c r="E156" t="inlineStr">
        <is>
          <t>SURAHAMMAR</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2660-2024</t>
        </is>
      </c>
      <c r="B157" s="1" t="n">
        <v>45310</v>
      </c>
      <c r="C157" s="1" t="n">
        <v>46136</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41555-2022</t>
        </is>
      </c>
      <c r="B158" s="1" t="n">
        <v>44826</v>
      </c>
      <c r="C158" s="1" t="n">
        <v>46136</v>
      </c>
      <c r="D158" t="inlineStr">
        <is>
          <t>VÄSTMANLANDS LÄN</t>
        </is>
      </c>
      <c r="E158" t="inlineStr">
        <is>
          <t>SURAHAMMAR</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5567-2022</t>
        </is>
      </c>
      <c r="B159" s="1" t="n">
        <v>44595</v>
      </c>
      <c r="C159" s="1" t="n">
        <v>46136</v>
      </c>
      <c r="D159" t="inlineStr">
        <is>
          <t>VÄSTMANLANDS LÄN</t>
        </is>
      </c>
      <c r="E159" t="inlineStr">
        <is>
          <t>SURAHAMMAR</t>
        </is>
      </c>
      <c r="G159" t="n">
        <v>1.3</v>
      </c>
      <c r="H159" t="n">
        <v>0</v>
      </c>
      <c r="I159" t="n">
        <v>0</v>
      </c>
      <c r="J159" t="n">
        <v>0</v>
      </c>
      <c r="K159" t="n">
        <v>0</v>
      </c>
      <c r="L159" t="n">
        <v>0</v>
      </c>
      <c r="M159" t="n">
        <v>0</v>
      </c>
      <c r="N159" t="n">
        <v>0</v>
      </c>
      <c r="O159" t="n">
        <v>0</v>
      </c>
      <c r="P159" t="n">
        <v>0</v>
      </c>
      <c r="Q159" t="n">
        <v>0</v>
      </c>
      <c r="R159" s="2" t="inlineStr"/>
    </row>
    <row r="160" ht="15" customHeight="1">
      <c r="A160" t="inlineStr">
        <is>
          <t>A 3085-2023</t>
        </is>
      </c>
      <c r="B160" s="1" t="n">
        <v>44946</v>
      </c>
      <c r="C160" s="1" t="n">
        <v>46136</v>
      </c>
      <c r="D160" t="inlineStr">
        <is>
          <t>VÄSTMANLANDS LÄN</t>
        </is>
      </c>
      <c r="E160" t="inlineStr">
        <is>
          <t>SURAHAMMAR</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44608.58400462963</v>
      </c>
      <c r="C161" s="1" t="n">
        <v>46136</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46136</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15743-2023</t>
        </is>
      </c>
      <c r="B163" s="1" t="n">
        <v>45021</v>
      </c>
      <c r="C163" s="1" t="n">
        <v>46136</v>
      </c>
      <c r="D163" t="inlineStr">
        <is>
          <t>VÄSTMANLANDS LÄN</t>
        </is>
      </c>
      <c r="E163" t="inlineStr">
        <is>
          <t>SURAHAMMAR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44662.89638888889</v>
      </c>
      <c r="C164" s="1" t="n">
        <v>46136</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19786-2023</t>
        </is>
      </c>
      <c r="B165" s="1" t="n">
        <v>45050</v>
      </c>
      <c r="C165" s="1" t="n">
        <v>46136</v>
      </c>
      <c r="D165" t="inlineStr">
        <is>
          <t>VÄSTMANLANDS LÄN</t>
        </is>
      </c>
      <c r="E165" t="inlineStr">
        <is>
          <t>SURAHAMMAR</t>
        </is>
      </c>
      <c r="F165" t="inlineStr">
        <is>
          <t>Bergvik skog väst AB</t>
        </is>
      </c>
      <c r="G165" t="n">
        <v>8.1</v>
      </c>
      <c r="H165" t="n">
        <v>0</v>
      </c>
      <c r="I165" t="n">
        <v>0</v>
      </c>
      <c r="J165" t="n">
        <v>0</v>
      </c>
      <c r="K165" t="n">
        <v>0</v>
      </c>
      <c r="L165" t="n">
        <v>0</v>
      </c>
      <c r="M165" t="n">
        <v>0</v>
      </c>
      <c r="N165" t="n">
        <v>0</v>
      </c>
      <c r="O165" t="n">
        <v>0</v>
      </c>
      <c r="P165" t="n">
        <v>0</v>
      </c>
      <c r="Q165" t="n">
        <v>0</v>
      </c>
      <c r="R165" s="2" t="inlineStr"/>
    </row>
    <row r="166" ht="15" customHeight="1">
      <c r="A166" t="inlineStr">
        <is>
          <t>A 7787-2024</t>
        </is>
      </c>
      <c r="B166" s="1" t="n">
        <v>45348</v>
      </c>
      <c r="C166" s="1" t="n">
        <v>46136</v>
      </c>
      <c r="D166" t="inlineStr">
        <is>
          <t>VÄSTMANLANDS LÄN</t>
        </is>
      </c>
      <c r="E166" t="inlineStr">
        <is>
          <t>SURAHAMMAR</t>
        </is>
      </c>
      <c r="G166" t="n">
        <v>1</v>
      </c>
      <c r="H166" t="n">
        <v>0</v>
      </c>
      <c r="I166" t="n">
        <v>0</v>
      </c>
      <c r="J166" t="n">
        <v>0</v>
      </c>
      <c r="K166" t="n">
        <v>0</v>
      </c>
      <c r="L166" t="n">
        <v>0</v>
      </c>
      <c r="M166" t="n">
        <v>0</v>
      </c>
      <c r="N166" t="n">
        <v>0</v>
      </c>
      <c r="O166" t="n">
        <v>0</v>
      </c>
      <c r="P166" t="n">
        <v>0</v>
      </c>
      <c r="Q166" t="n">
        <v>0</v>
      </c>
      <c r="R166" s="2" t="inlineStr"/>
    </row>
    <row r="167" ht="15" customHeight="1">
      <c r="A167" t="inlineStr">
        <is>
          <t>A 15739-2023</t>
        </is>
      </c>
      <c r="B167" s="1" t="n">
        <v>45021</v>
      </c>
      <c r="C167" s="1" t="n">
        <v>46136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c r="A168" t="inlineStr">
        <is>
          <t>A 38154-2021</t>
        </is>
      </c>
      <c r="B168" s="1" t="n">
        <v>44405.42373842592</v>
      </c>
      <c r="C168" s="1" t="n">
        <v>46136</v>
      </c>
      <c r="D168" t="inlineStr">
        <is>
          <t>VÄSTMANLANDS LÄN</t>
        </is>
      </c>
      <c r="E168" t="inlineStr">
        <is>
          <t>SURAHAMMAR</t>
        </is>
      </c>
      <c r="F168" t="inlineStr">
        <is>
          <t>Sveaskog</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2026-04-24T10:47:03Z</dcterms:created>
  <dcterms:modified xmlns:dcterms="http://purl.org/dc/terms/" xmlns:xsi="http://www.w3.org/2001/XMLSchema-instance" xsi:type="dcterms:W3CDTF">2026-04-24T10:47:03Z</dcterms:modified>
</cp:coreProperties>
</file>