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46269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46269</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46269</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46269</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46269</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46269</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46269</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46269</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46269</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34040-2024</t>
        </is>
      </c>
      <c r="B19" t="inlineStr">
        <is>
          <t>avverkningsanmälan</t>
        </is>
      </c>
      <c r="C19" t="inlineStr">
        <is>
          <t>Föryngringsavverkning</t>
        </is>
      </c>
      <c r="D19" s="1" t="n">
        <v>45523</v>
      </c>
      <c r="E19" s="1" t="n">
        <v>46269</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42853-2022</t>
        </is>
      </c>
      <c r="B20" t="inlineStr">
        <is>
          <t>avverkningsanmälan</t>
        </is>
      </c>
      <c r="C20" t="inlineStr">
        <is>
          <t>Avverkning för att bevara och utveckla /försöksver</t>
        </is>
      </c>
      <c r="D20" s="1" t="n">
        <v>44832</v>
      </c>
      <c r="E20" s="1" t="n">
        <v>46269</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39594-2025</t>
        </is>
      </c>
      <c r="B21" t="inlineStr">
        <is>
          <t>avverkningsanmälan</t>
        </is>
      </c>
      <c r="C21" t="inlineStr">
        <is>
          <t>Föryngringsavverkning</t>
        </is>
      </c>
      <c r="D21" s="1" t="n">
        <v>45890</v>
      </c>
      <c r="E21" s="1" t="n">
        <v>46269</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46269</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46269</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46269</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46269</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46269</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48891-2023</t>
        </is>
      </c>
      <c r="B27" t="inlineStr">
        <is>
          <t>avverkningsanmälan</t>
        </is>
      </c>
      <c r="C27" t="inlineStr">
        <is>
          <t>Föryngringsavverkning</t>
        </is>
      </c>
      <c r="D27" s="1" t="n">
        <v>45203</v>
      </c>
      <c r="E27" s="1" t="n">
        <v>46269</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38172-2024</t>
        </is>
      </c>
      <c r="B28" t="inlineStr">
        <is>
          <t>avverkningsanmälan</t>
        </is>
      </c>
      <c r="C28" t="inlineStr">
        <is>
          <t>Avverkning för att bevara och utveckla /försöksver</t>
        </is>
      </c>
      <c r="D28" s="1" t="n">
        <v>45545</v>
      </c>
      <c r="E28" s="1" t="n">
        <v>46269</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A 56299-2021</t>
        </is>
      </c>
      <c r="B29" t="inlineStr">
        <is>
          <t>avverkningsanmälan</t>
        </is>
      </c>
      <c r="C29" t="inlineStr">
        <is>
          <t>Föryngringsavverkning</t>
        </is>
      </c>
      <c r="D29" s="1" t="n">
        <v>44477</v>
      </c>
      <c r="E29" s="1" t="n">
        <v>46269</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22840-2023</t>
        </is>
      </c>
      <c r="B30" t="inlineStr">
        <is>
          <t>avverkningsanmälan</t>
        </is>
      </c>
      <c r="C30" t="inlineStr">
        <is>
          <t>Föryngringsavverkning</t>
        </is>
      </c>
      <c r="D30" s="1" t="n">
        <v>45072</v>
      </c>
      <c r="E30" s="1" t="n">
        <v>46269</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46269</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46269</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46269</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46269</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46269</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46269</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46269</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46269</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25548-2024</t>
        </is>
      </c>
      <c r="B39" t="inlineStr">
        <is>
          <t>avverkningsanmälan</t>
        </is>
      </c>
      <c r="C39" t="inlineStr">
        <is>
          <t>Föryngringsavverkning</t>
        </is>
      </c>
      <c r="D39" s="1" t="n">
        <v>45463</v>
      </c>
      <c r="E39" s="1" t="n">
        <v>46269</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46269</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31176-2024</t>
        </is>
      </c>
      <c r="B41" t="inlineStr">
        <is>
          <t>avverkningsanmälan</t>
        </is>
      </c>
      <c r="C41" t="inlineStr">
        <is>
          <t>Föryngringsavverkning</t>
        </is>
      </c>
      <c r="D41" s="1" t="n">
        <v>45503</v>
      </c>
      <c r="E41" s="1" t="n">
        <v>46269</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66350-2021</t>
        </is>
      </c>
      <c r="B42" t="inlineStr">
        <is>
          <t>avverkningsanmälan</t>
        </is>
      </c>
      <c r="C42" t="inlineStr">
        <is>
          <t>Föryngringsavverkning</t>
        </is>
      </c>
      <c r="D42" s="1" t="n">
        <v>44518</v>
      </c>
      <c r="E42" s="1" t="n">
        <v>46269</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46269</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46269</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39694-2025</t>
        </is>
      </c>
      <c r="B45" t="inlineStr">
        <is>
          <t>avverkningsanmälan</t>
        </is>
      </c>
      <c r="C45" t="inlineStr">
        <is>
          <t>Föryngringsavverkning</t>
        </is>
      </c>
      <c r="D45" s="1" t="n">
        <v>45890</v>
      </c>
      <c r="E45" s="1" t="n">
        <v>46269</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42765-2022</t>
        </is>
      </c>
      <c r="B46" t="inlineStr">
        <is>
          <t>avverkningsanmälan</t>
        </is>
      </c>
      <c r="C46" t="inlineStr">
        <is>
          <t>Avverkning för annat ändamål</t>
        </is>
      </c>
      <c r="D46" s="1" t="n">
        <v>44832</v>
      </c>
      <c r="E46" s="1" t="n">
        <v>46269</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4082-2025</t>
        </is>
      </c>
      <c r="B47" t="inlineStr">
        <is>
          <t>avverkningsanmälan</t>
        </is>
      </c>
      <c r="C47" t="inlineStr">
        <is>
          <t>Föryngringsavverkning</t>
        </is>
      </c>
      <c r="D47" s="1" t="n">
        <v>45684</v>
      </c>
      <c r="E47" s="1" t="n">
        <v>46269</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46269</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46269</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32443-2026</t>
        </is>
      </c>
      <c r="B50" t="inlineStr">
        <is>
          <t>avverkningsanmälan</t>
        </is>
      </c>
      <c r="C50" t="inlineStr">
        <is>
          <t>Föryngringsavverkning</t>
        </is>
      </c>
      <c r="D50" s="1" t="n">
        <v>46239</v>
      </c>
      <c r="E50" s="1" t="n">
        <v>46269</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46269</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46269</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46269</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46269</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46269</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47453-2024</t>
        </is>
      </c>
      <c r="B56" t="inlineStr">
        <is>
          <t>avverkningsanmälan</t>
        </is>
      </c>
      <c r="C56" t="inlineStr">
        <is>
          <t>Föryngringsavverkning</t>
        </is>
      </c>
      <c r="D56" s="1" t="n">
        <v>45587</v>
      </c>
      <c r="E56" s="1" t="n">
        <v>46269</v>
      </c>
      <c r="F56" t="inlineStr">
        <is>
          <t>VÄSTMANLANDS LÄN</t>
        </is>
      </c>
      <c r="G56" t="inlineStr">
        <is>
          <t>SURAHAMMAR</t>
        </is>
      </c>
      <c r="I56" t="n">
        <v>5.1</v>
      </c>
      <c r="J56" t="n">
        <v>2</v>
      </c>
      <c r="K56" t="n">
        <v>0</v>
      </c>
      <c r="L56" t="n">
        <v>1</v>
      </c>
      <c r="M56" t="n">
        <v>0</v>
      </c>
      <c r="N56" t="n">
        <v>0</v>
      </c>
      <c r="O56" t="n">
        <v>0</v>
      </c>
      <c r="P56" t="n">
        <v>0</v>
      </c>
      <c r="Q56" t="n">
        <v>1</v>
      </c>
      <c r="R56" t="n">
        <v>0</v>
      </c>
      <c r="S56" t="n">
        <v>2</v>
      </c>
      <c r="T56" t="n">
        <v>2</v>
      </c>
      <c r="U56" t="n">
        <v>1</v>
      </c>
      <c r="V56" s="2" t="inlineStr">
        <is>
          <t>Göktyta
Gröngöling</t>
        </is>
      </c>
      <c r="W56">
        <f>HYPERLINK("https://klasma.github.io/Logging_1907/artfynd/A 47453-2024 artfynd.xlsx", "A 47453-2024")</f>
        <v/>
      </c>
      <c r="X56">
        <f>HYPERLINK("https://klasma.github.io/Logging_1907/kartor/A 47453-2024 karta.png", "A 47453-2024")</f>
        <v/>
      </c>
      <c r="Y56">
        <f>HYPERLINK("https://klasma.github.io/Logging_1907/kartor_geotiff/A 47453-2024 georefererad karta.tif", "A 47453-2024")</f>
        <v/>
      </c>
      <c r="AA56">
        <f>HYPERLINK("https://klasma.github.io/Logging_1907/klagomål/A 47453-2024 FSC-klagomål.docx", "A 47453-2024")</f>
        <v/>
      </c>
      <c r="AB56">
        <f>HYPERLINK("https://klasma.github.io/Logging_1907/klagomålsmail/A 47453-2024 FSC-klagomål mail.docx", "A 47453-2024")</f>
        <v/>
      </c>
      <c r="AC56">
        <f>HYPERLINK("https://klasma.github.io/Logging_1907/tillsyn/A 47453-2024 tillsynsbegäran.docx", "A 47453-2024")</f>
        <v/>
      </c>
      <c r="AD56">
        <f>HYPERLINK("https://klasma.github.io/Logging_1907/tillsynsmail/A 47453-2024 tillsynsbegäran mail.docx", "A 47453-2024")</f>
        <v/>
      </c>
      <c r="AE56">
        <f>HYPERLINK("https://klasma.github.io/Logging_1907/fåglar/A 47453-2024 prioriterade fågelarter.docx", "A 47453-2024")</f>
        <v/>
      </c>
    </row>
    <row r="57" ht="15" customHeight="1">
      <c r="A57" t="inlineStr">
        <is>
          <t>A 56362-2023</t>
        </is>
      </c>
      <c r="B57" t="inlineStr">
        <is>
          <t>avverkningsanmälan</t>
        </is>
      </c>
      <c r="C57" t="inlineStr">
        <is>
          <t>Föryngringsavverkning</t>
        </is>
      </c>
      <c r="D57" s="1" t="n">
        <v>45236</v>
      </c>
      <c r="E57" s="1" t="n">
        <v>46269</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11501-2023</t>
        </is>
      </c>
      <c r="B58" t="inlineStr">
        <is>
          <t>avverkningsanmälan</t>
        </is>
      </c>
      <c r="C58" t="inlineStr">
        <is>
          <t>Föryngringsavverkning</t>
        </is>
      </c>
      <c r="D58" s="1" t="n">
        <v>44991</v>
      </c>
      <c r="E58" s="1" t="n">
        <v>46269</v>
      </c>
      <c r="F58" t="inlineStr">
        <is>
          <t>VÄSTMANLANDS LÄN</t>
        </is>
      </c>
      <c r="G58" t="inlineStr">
        <is>
          <t>SURAHAMMAR</t>
        </is>
      </c>
      <c r="H58" t="inlineStr">
        <is>
          <t>Bergvik skog väst AB</t>
        </is>
      </c>
      <c r="I58" t="n">
        <v>1.1</v>
      </c>
      <c r="J58" t="n">
        <v>1</v>
      </c>
      <c r="K58" t="n">
        <v>1</v>
      </c>
      <c r="L58" t="n">
        <v>0</v>
      </c>
      <c r="M58" t="n">
        <v>0</v>
      </c>
      <c r="N58" t="n">
        <v>0</v>
      </c>
      <c r="O58" t="n">
        <v>0</v>
      </c>
      <c r="P58" t="n">
        <v>0</v>
      </c>
      <c r="Q58" t="n">
        <v>0</v>
      </c>
      <c r="R58" t="n">
        <v>0</v>
      </c>
      <c r="S58" t="n">
        <v>2</v>
      </c>
      <c r="T58" t="n">
        <v>2</v>
      </c>
      <c r="U58" t="n">
        <v>2</v>
      </c>
      <c r="V58" s="2" t="inlineStr">
        <is>
          <t>Svart trolldruva
Nattviol</t>
        </is>
      </c>
      <c r="W58">
        <f>HYPERLINK("https://klasma.github.io/Logging_1907/artfynd/A 11501-2023 artfynd.xlsx", "A 11501-2023")</f>
        <v/>
      </c>
      <c r="X58">
        <f>HYPERLINK("https://klasma.github.io/Logging_1907/kartor/A 11501-2023 karta.png", "A 11501-2023")</f>
        <v/>
      </c>
      <c r="Y58">
        <f>HYPERLINK("https://klasma.github.io/Logging_1907/kartor_geotiff/A 11501-2023 georefererad karta.tif", "A 11501-2023")</f>
        <v/>
      </c>
      <c r="AA58">
        <f>HYPERLINK("https://klasma.github.io/Logging_1907/klagomål/A 11501-2023 FSC-klagomål.docx", "A 11501-2023")</f>
        <v/>
      </c>
      <c r="AB58">
        <f>HYPERLINK("https://klasma.github.io/Logging_1907/klagomålsmail/A 11501-2023 FSC-klagomål mail.docx", "A 11501-2023")</f>
        <v/>
      </c>
      <c r="AC58">
        <f>HYPERLINK("https://klasma.github.io/Logging_1907/tillsyn/A 11501-2023 tillsynsbegäran.docx", "A 11501-2023")</f>
        <v/>
      </c>
      <c r="AD58">
        <f>HYPERLINK("https://klasma.github.io/Logging_1907/tillsynsmail/A 11501-2023 tillsynsbegäran mail.docx", "A 11501-2023")</f>
        <v/>
      </c>
    </row>
    <row r="59" ht="15" customHeight="1">
      <c r="A59" t="inlineStr">
        <is>
          <t>A 13788-2025</t>
        </is>
      </c>
      <c r="B59" t="inlineStr">
        <is>
          <t>avverkningsanmälan</t>
        </is>
      </c>
      <c r="C59" t="inlineStr">
        <is>
          <t>Föryngringsavverkning</t>
        </is>
      </c>
      <c r="D59" s="1" t="n">
        <v>45737</v>
      </c>
      <c r="E59" s="1" t="n">
        <v>46269</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41204-2023</t>
        </is>
      </c>
      <c r="B60" t="inlineStr">
        <is>
          <t>avverkningsanmälan</t>
        </is>
      </c>
      <c r="C60" t="inlineStr">
        <is>
          <t>Föryngringsavverkning</t>
        </is>
      </c>
      <c r="D60" s="1" t="n">
        <v>45174</v>
      </c>
      <c r="E60" s="1" t="n">
        <v>46269</v>
      </c>
      <c r="F60" t="inlineStr">
        <is>
          <t>VÄSTMANLANDS LÄN</t>
        </is>
      </c>
      <c r="G60" t="inlineStr">
        <is>
          <t>SURAHAMMAR</t>
        </is>
      </c>
      <c r="I60" t="n">
        <v>1</v>
      </c>
      <c r="J60" t="n">
        <v>1</v>
      </c>
      <c r="K60" t="n">
        <v>0</v>
      </c>
      <c r="L60" t="n">
        <v>1</v>
      </c>
      <c r="M60" t="n">
        <v>1</v>
      </c>
      <c r="N60" t="n">
        <v>0</v>
      </c>
      <c r="O60" t="n">
        <v>0</v>
      </c>
      <c r="P60" t="n">
        <v>0</v>
      </c>
      <c r="Q60" t="n">
        <v>2</v>
      </c>
      <c r="R60" t="n">
        <v>1</v>
      </c>
      <c r="S60" t="n">
        <v>2</v>
      </c>
      <c r="T60" t="n">
        <v>5</v>
      </c>
      <c r="U60" t="n">
        <v>0</v>
      </c>
      <c r="V60" s="2" t="inlineStr">
        <is>
          <t>Knärot
Vedtrappmossa</t>
        </is>
      </c>
      <c r="W60">
        <f>HYPERLINK("https://klasma.github.io/Logging_1907/artfynd/A 41204-2023 artfynd.xlsx", "A 41204-2023")</f>
        <v/>
      </c>
      <c r="X60">
        <f>HYPERLINK("https://klasma.github.io/Logging_1907/kartor/A 41204-2023 karta.png", "A 41204-2023")</f>
        <v/>
      </c>
      <c r="Y60">
        <f>HYPERLINK("https://klasma.github.io/Logging_1907/kartor_geotiff/A 41204-2023 georefererad karta.tif", "A 41204-2023")</f>
        <v/>
      </c>
      <c r="Z60">
        <f>HYPERLINK("https://klasma.github.io/Logging_1907/knärot/A 41204-2023 karta knärot.png", "A 41204-2023")</f>
        <v/>
      </c>
      <c r="AA60">
        <f>HYPERLINK("https://klasma.github.io/Logging_1907/klagomål/A 41204-2023 FSC-klagomål.docx", "A 41204-2023")</f>
        <v/>
      </c>
      <c r="AB60">
        <f>HYPERLINK("https://klasma.github.io/Logging_1907/klagomålsmail/A 41204-2023 FSC-klagomål mail.docx", "A 41204-2023")</f>
        <v/>
      </c>
      <c r="AC60">
        <f>HYPERLINK("https://klasma.github.io/Logging_1907/tillsyn/A 41204-2023 tillsynsbegäran.docx", "A 41204-2023")</f>
        <v/>
      </c>
      <c r="AD60">
        <f>HYPERLINK("https://klasma.github.io/Logging_1907/tillsynsmail/A 41204-2023 tillsynsbegäran mail.docx", "A 41204-2023")</f>
        <v/>
      </c>
    </row>
    <row r="61" ht="15" customHeight="1">
      <c r="A61" t="inlineStr">
        <is>
          <t>A 14001-2023</t>
        </is>
      </c>
      <c r="B61" t="inlineStr">
        <is>
          <t>avverkningsanmälan</t>
        </is>
      </c>
      <c r="C61" t="inlineStr">
        <is>
          <t>Föryngringsavverkning</t>
        </is>
      </c>
      <c r="D61" s="1" t="n">
        <v>45007</v>
      </c>
      <c r="E61" s="1" t="n">
        <v>46269</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t="n">
        <v>0</v>
      </c>
      <c r="V61" s="2" t="inlineStr">
        <is>
          <t>Garnlav
Motaggsvamp</t>
        </is>
      </c>
      <c r="W61">
        <f>HYPERLINK("https://klasma.github.io/Logging_1907/artfynd/A 14001-2023 artfynd.xlsx", "A 14001-2023")</f>
        <v/>
      </c>
      <c r="X61">
        <f>HYPERLINK("https://klasma.github.io/Logging_1907/kartor/A 14001-2023 karta.png", "A 14001-2023")</f>
        <v/>
      </c>
      <c r="Y61">
        <f>HYPERLINK("https://klasma.github.io/Logging_1907/kartor_geotiff/A 14001-2023 georefererad karta.tif", "A 14001-2023")</f>
        <v/>
      </c>
      <c r="AA61">
        <f>HYPERLINK("https://klasma.github.io/Logging_1907/klagomål/A 14001-2023 FSC-klagomål.docx", "A 14001-2023")</f>
        <v/>
      </c>
      <c r="AB61">
        <f>HYPERLINK("https://klasma.github.io/Logging_1907/klagomålsmail/A 14001-2023 FSC-klagomål mail.docx", "A 14001-2023")</f>
        <v/>
      </c>
      <c r="AC61">
        <f>HYPERLINK("https://klasma.github.io/Logging_1907/tillsyn/A 14001-2023 tillsynsbegäran.docx", "A 14001-2023")</f>
        <v/>
      </c>
      <c r="AD61">
        <f>HYPERLINK("https://klasma.github.io/Logging_1907/tillsynsmail/A 14001-2023 tillsynsbegäran mail.docx", "A 14001-2023")</f>
        <v/>
      </c>
    </row>
    <row r="62" ht="15" customHeight="1">
      <c r="A62" t="inlineStr">
        <is>
          <t>A 37013-2025</t>
        </is>
      </c>
      <c r="B62" t="inlineStr">
        <is>
          <t>avverkningsanmälan</t>
        </is>
      </c>
      <c r="C62" t="inlineStr">
        <is>
          <t>Föryngringsavverkning</t>
        </is>
      </c>
      <c r="D62" s="1" t="n">
        <v>45874</v>
      </c>
      <c r="E62" s="1" t="n">
        <v>46269</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30074-2023</t>
        </is>
      </c>
      <c r="B63" t="inlineStr">
        <is>
          <t>avverkningsanmälan</t>
        </is>
      </c>
      <c r="C63" t="inlineStr">
        <is>
          <t>Föryngringsavverkning</t>
        </is>
      </c>
      <c r="D63" s="1" t="n">
        <v>45110</v>
      </c>
      <c r="E63" s="1" t="n">
        <v>46269</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40403-2025</t>
        </is>
      </c>
      <c r="B64" t="inlineStr">
        <is>
          <t>avverkningsanmälan</t>
        </is>
      </c>
      <c r="C64" t="inlineStr">
        <is>
          <t>Föryngringsavverkning</t>
        </is>
      </c>
      <c r="D64" s="1" t="n">
        <v>45895</v>
      </c>
      <c r="E64" s="1" t="n">
        <v>46269</v>
      </c>
      <c r="F64" t="inlineStr">
        <is>
          <t>VÄSTMANLANDS LÄN</t>
        </is>
      </c>
      <c r="G64" t="inlineStr">
        <is>
          <t>SURAHAMMAR</t>
        </is>
      </c>
      <c r="H64" t="inlineStr">
        <is>
          <t>Kommuner</t>
        </is>
      </c>
      <c r="I64" t="n">
        <v>3.9</v>
      </c>
      <c r="J64" t="n">
        <v>1</v>
      </c>
      <c r="K64" t="n">
        <v>0</v>
      </c>
      <c r="L64" t="n">
        <v>0</v>
      </c>
      <c r="M64" t="n">
        <v>1</v>
      </c>
      <c r="N64" t="n">
        <v>0</v>
      </c>
      <c r="O64" t="n">
        <v>0</v>
      </c>
      <c r="P64" t="n">
        <v>0</v>
      </c>
      <c r="Q64" t="n">
        <v>1</v>
      </c>
      <c r="R64" t="n">
        <v>1</v>
      </c>
      <c r="S64" t="n">
        <v>2</v>
      </c>
      <c r="T64" t="n">
        <v>3</v>
      </c>
      <c r="U64" t="n">
        <v>1</v>
      </c>
      <c r="V64" s="2" t="inlineStr">
        <is>
          <t>Igelkott
Gröngöling</t>
        </is>
      </c>
      <c r="W64">
        <f>HYPERLINK("https://klasma.github.io/Logging_1907/artfynd/A 40403-2025 artfynd.xlsx", "A 40403-2025")</f>
        <v/>
      </c>
      <c r="X64">
        <f>HYPERLINK("https://klasma.github.io/Logging_1907/kartor/A 40403-2025 karta.png", "A 40403-2025")</f>
        <v/>
      </c>
      <c r="Y64">
        <f>HYPERLINK("https://klasma.github.io/Logging_1907/kartor_geotiff/A 40403-2025 georefererad karta.tif", "A 40403-2025")</f>
        <v/>
      </c>
      <c r="AA64">
        <f>HYPERLINK("https://klasma.github.io/Logging_1907/klagomål/A 40403-2025 FSC-klagomål.docx", "A 40403-2025")</f>
        <v/>
      </c>
      <c r="AB64">
        <f>HYPERLINK("https://klasma.github.io/Logging_1907/klagomålsmail/A 40403-2025 FSC-klagomål mail.docx", "A 40403-2025")</f>
        <v/>
      </c>
      <c r="AC64">
        <f>HYPERLINK("https://klasma.github.io/Logging_1907/tillsyn/A 40403-2025 tillsynsbegäran.docx", "A 40403-2025")</f>
        <v/>
      </c>
      <c r="AD64">
        <f>HYPERLINK("https://klasma.github.io/Logging_1907/tillsynsmail/A 40403-2025 tillsynsbegäran mail.docx", "A 40403-2025")</f>
        <v/>
      </c>
    </row>
    <row r="65" ht="15" customHeight="1">
      <c r="A65" t="inlineStr">
        <is>
          <t>A 13971-2023</t>
        </is>
      </c>
      <c r="B65" t="inlineStr">
        <is>
          <t>avverkningsanmälan</t>
        </is>
      </c>
      <c r="C65" t="inlineStr">
        <is>
          <t>Föryngringsavverkning</t>
        </is>
      </c>
      <c r="D65" s="1" t="n">
        <v>45007</v>
      </c>
      <c r="E65" s="1" t="n">
        <v>46269</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63138-2025</t>
        </is>
      </c>
      <c r="B66" t="inlineStr">
        <is>
          <t>avverkningsanmälan</t>
        </is>
      </c>
      <c r="C66" t="inlineStr">
        <is>
          <t>Föryngringsavverkning</t>
        </is>
      </c>
      <c r="D66" s="1" t="n">
        <v>46009</v>
      </c>
      <c r="E66" s="1" t="n">
        <v>46269</v>
      </c>
      <c r="F66" t="inlineStr">
        <is>
          <t>VÄSTMANLANDS LÄN</t>
        </is>
      </c>
      <c r="G66" t="inlineStr">
        <is>
          <t>SURAHAMMAR</t>
        </is>
      </c>
      <c r="H66" t="inlineStr">
        <is>
          <t>Bergvik skog väst AB</t>
        </is>
      </c>
      <c r="I66" t="n">
        <v>2.5</v>
      </c>
      <c r="J66" t="n">
        <v>1</v>
      </c>
      <c r="K66" t="n">
        <v>1</v>
      </c>
      <c r="L66" t="n">
        <v>0</v>
      </c>
      <c r="M66" t="n">
        <v>0</v>
      </c>
      <c r="N66" t="n">
        <v>0</v>
      </c>
      <c r="O66" t="n">
        <v>0</v>
      </c>
      <c r="P66" t="n">
        <v>0</v>
      </c>
      <c r="Q66" t="n">
        <v>0</v>
      </c>
      <c r="R66" t="n">
        <v>0</v>
      </c>
      <c r="S66" t="n">
        <v>2</v>
      </c>
      <c r="T66" t="n">
        <v>3</v>
      </c>
      <c r="U66" t="n">
        <v>2</v>
      </c>
      <c r="V66" s="2" t="inlineStr">
        <is>
          <t>Mindre märgborre
Tjäder</t>
        </is>
      </c>
      <c r="W66">
        <f>HYPERLINK("https://klasma.github.io/Logging_1907/artfynd/A 63138-2025 artfynd.xlsx", "A 63138-2025")</f>
        <v/>
      </c>
      <c r="X66">
        <f>HYPERLINK("https://klasma.github.io/Logging_1907/kartor/A 63138-2025 karta.png", "A 63138-2025")</f>
        <v/>
      </c>
      <c r="Y66">
        <f>HYPERLINK("https://klasma.github.io/Logging_1907/kartor_geotiff/A 63138-2025 georefererad karta.tif", "A 63138-2025")</f>
        <v/>
      </c>
      <c r="AA66">
        <f>HYPERLINK("https://klasma.github.io/Logging_1907/klagomål/A 63138-2025 FSC-klagomål.docx", "A 63138-2025")</f>
        <v/>
      </c>
      <c r="AB66">
        <f>HYPERLINK("https://klasma.github.io/Logging_1907/klagomålsmail/A 63138-2025 FSC-klagomål mail.docx", "A 63138-2025")</f>
        <v/>
      </c>
      <c r="AC66">
        <f>HYPERLINK("https://klasma.github.io/Logging_1907/tillsyn/A 63138-2025 tillsynsbegäran.docx", "A 63138-2025")</f>
        <v/>
      </c>
      <c r="AD66">
        <f>HYPERLINK("https://klasma.github.io/Logging_1907/tillsynsmail/A 63138-2025 tillsynsbegäran mail.docx", "A 63138-2025")</f>
        <v/>
      </c>
      <c r="AE66">
        <f>HYPERLINK("https://klasma.github.io/Logging_1907/fåglar/A 63138-2025 prioriterade fågelarter.docx", "A 63138-2025")</f>
        <v/>
      </c>
    </row>
    <row r="67" ht="15" customHeight="1">
      <c r="A67" t="inlineStr">
        <is>
          <t>A 36261-2026</t>
        </is>
      </c>
      <c r="B67" t="inlineStr">
        <is>
          <t>avverkningsanmälan</t>
        </is>
      </c>
      <c r="C67" t="inlineStr">
        <is>
          <t>Föryngringsavverkning</t>
        </is>
      </c>
      <c r="D67" s="1" t="n">
        <v>46268</v>
      </c>
      <c r="E67" s="1" t="n">
        <v>46269</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46269</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46269</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46269</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46269</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46269</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8553-2023</t>
        </is>
      </c>
      <c r="B73" t="inlineStr">
        <is>
          <t>avverkningsanmälan</t>
        </is>
      </c>
      <c r="C73" t="inlineStr">
        <is>
          <t>Avverkning för att bevara och utveckla /försöksver</t>
        </is>
      </c>
      <c r="D73" s="1" t="n">
        <v>44977</v>
      </c>
      <c r="E73" s="1" t="n">
        <v>46269</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t="n">
        <v>0</v>
      </c>
      <c r="V73" s="2" t="inlineStr">
        <is>
          <t>Väddnätfjäril</t>
        </is>
      </c>
      <c r="W73">
        <f>HYPERLINK("https://klasma.github.io/Logging_1907/artfynd/A 8553-2023 artfynd.xlsx", "A 8553-2023")</f>
        <v/>
      </c>
      <c r="X73">
        <f>HYPERLINK("https://klasma.github.io/Logging_1907/kartor/A 8553-2023 karta.png", "A 8553-2023")</f>
        <v/>
      </c>
      <c r="Y73">
        <f>HYPERLINK("https://klasma.github.io/Logging_1907/kartor_geotiff/A 8553-2023 georefererad karta.tif", "A 8553-2023")</f>
        <v/>
      </c>
      <c r="AA73">
        <f>HYPERLINK("https://klasma.github.io/Logging_1907/klagomål/A 8553-2023 FSC-klagomål.docx", "A 8553-2023")</f>
        <v/>
      </c>
      <c r="AB73">
        <f>HYPERLINK("https://klasma.github.io/Logging_1907/klagomålsmail/A 8553-2023 FSC-klagomål mail.docx", "A 8553-2023")</f>
        <v/>
      </c>
      <c r="AC73">
        <f>HYPERLINK("https://klasma.github.io/Logging_1907/tillsyn/A 8553-2023 tillsynsbegäran.docx", "A 8553-2023")</f>
        <v/>
      </c>
      <c r="AD73">
        <f>HYPERLINK("https://klasma.github.io/Logging_1907/tillsynsmail/A 8553-2023 tillsynsbegäran mail.docx", "A 8553-2023")</f>
        <v/>
      </c>
    </row>
    <row r="74" ht="15" customHeight="1">
      <c r="A74" t="inlineStr">
        <is>
          <t>A 16013-2023</t>
        </is>
      </c>
      <c r="B74" t="inlineStr">
        <is>
          <t>avverkningsanmälan</t>
        </is>
      </c>
      <c r="C74" t="inlineStr">
        <is>
          <t>Föryngringsavverkning</t>
        </is>
      </c>
      <c r="D74" s="1" t="n">
        <v>45026</v>
      </c>
      <c r="E74" s="1" t="n">
        <v>46269</v>
      </c>
      <c r="F74" t="inlineStr">
        <is>
          <t>VÄSTMANLANDS LÄN</t>
        </is>
      </c>
      <c r="G74" t="inlineStr">
        <is>
          <t>SURAHAMMAR</t>
        </is>
      </c>
      <c r="I74" t="n">
        <v>3.9</v>
      </c>
      <c r="J74" t="n">
        <v>0</v>
      </c>
      <c r="K74" t="n">
        <v>0</v>
      </c>
      <c r="L74" t="n">
        <v>0</v>
      </c>
      <c r="M74" t="n">
        <v>1</v>
      </c>
      <c r="N74" t="n">
        <v>0</v>
      </c>
      <c r="O74" t="n">
        <v>0</v>
      </c>
      <c r="P74" t="n">
        <v>0</v>
      </c>
      <c r="Q74" t="n">
        <v>1</v>
      </c>
      <c r="R74" t="n">
        <v>1</v>
      </c>
      <c r="S74" t="n">
        <v>1</v>
      </c>
      <c r="T74" t="n">
        <v>1</v>
      </c>
      <c r="U74" t="n">
        <v>0</v>
      </c>
      <c r="V74" s="2" t="inlineStr">
        <is>
          <t>Garnlav</t>
        </is>
      </c>
      <c r="W74">
        <f>HYPERLINK("https://klasma.github.io/Logging_1907/artfynd/A 16013-2023 artfynd.xlsx", "A 16013-2023")</f>
        <v/>
      </c>
      <c r="X74">
        <f>HYPERLINK("https://klasma.github.io/Logging_1907/kartor/A 16013-2023 karta.png", "A 16013-2023")</f>
        <v/>
      </c>
      <c r="Y74">
        <f>HYPERLINK("https://klasma.github.io/Logging_1907/kartor_geotiff/A 16013-2023 georefererad karta.tif", "A 16013-2023")</f>
        <v/>
      </c>
      <c r="AA74">
        <f>HYPERLINK("https://klasma.github.io/Logging_1907/klagomål/A 16013-2023 FSC-klagomål.docx", "A 16013-2023")</f>
        <v/>
      </c>
      <c r="AB74">
        <f>HYPERLINK("https://klasma.github.io/Logging_1907/klagomålsmail/A 16013-2023 FSC-klagomål mail.docx", "A 16013-2023")</f>
        <v/>
      </c>
      <c r="AC74">
        <f>HYPERLINK("https://klasma.github.io/Logging_1907/tillsyn/A 16013-2023 tillsynsbegäran.docx", "A 16013-2023")</f>
        <v/>
      </c>
      <c r="AD74">
        <f>HYPERLINK("https://klasma.github.io/Logging_1907/tillsynsmail/A 16013-2023 tillsynsbegäran mail.docx", "A 16013-2023")</f>
        <v/>
      </c>
    </row>
    <row r="75" ht="15" customHeight="1">
      <c r="A75" t="inlineStr">
        <is>
          <t>A 39099-2022</t>
        </is>
      </c>
      <c r="B75" t="inlineStr">
        <is>
          <t>avverkningsanmälan</t>
        </is>
      </c>
      <c r="C75" t="inlineStr">
        <is>
          <t>Föryngringsavverkning</t>
        </is>
      </c>
      <c r="D75" s="1" t="n">
        <v>44817</v>
      </c>
      <c r="E75" s="1" t="n">
        <v>46269</v>
      </c>
      <c r="F75" t="inlineStr">
        <is>
          <t>VÄSTMANLANDS LÄN</t>
        </is>
      </c>
      <c r="G75" t="inlineStr">
        <is>
          <t>SURAHAMMAR</t>
        </is>
      </c>
      <c r="H75" t="inlineStr">
        <is>
          <t>Bergvik skog väst AB</t>
        </is>
      </c>
      <c r="I75" t="n">
        <v>7.4</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HYPERLINK("https://klasma.github.io/Logging_1907/artfynd/A 39099-2022 artfynd.xlsx", "A 39099-2022")</f>
        <v/>
      </c>
      <c r="X75">
        <f>HYPERLINK("https://klasma.github.io/Logging_1907/kartor/A 39099-2022 karta.png", "A 39099-2022")</f>
        <v/>
      </c>
      <c r="Y75">
        <f>HYPERLINK("https://klasma.github.io/Logging_1907/kartor_geotiff/A 39099-2022 georefererad karta.tif", "A 39099-2022")</f>
        <v/>
      </c>
      <c r="AA75">
        <f>HYPERLINK("https://klasma.github.io/Logging_1907/klagomål/A 39099-2022 FSC-klagomål.docx", "A 39099-2022")</f>
        <v/>
      </c>
      <c r="AB75">
        <f>HYPERLINK("https://klasma.github.io/Logging_1907/klagomålsmail/A 39099-2022 FSC-klagomål mail.docx", "A 39099-2022")</f>
        <v/>
      </c>
      <c r="AC75">
        <f>HYPERLINK("https://klasma.github.io/Logging_1907/tillsyn/A 39099-2022 tillsynsbegäran.docx", "A 39099-2022")</f>
        <v/>
      </c>
      <c r="AD75">
        <f>HYPERLINK("https://klasma.github.io/Logging_1907/tillsynsmail/A 39099-2022 tillsynsbegäran mail.docx", "A 39099-2022")</f>
        <v/>
      </c>
    </row>
    <row r="76" ht="15" customHeight="1">
      <c r="A76" t="inlineStr">
        <is>
          <t>A 34955-2022</t>
        </is>
      </c>
      <c r="B76" t="inlineStr">
        <is>
          <t>avverkningsanmälan</t>
        </is>
      </c>
      <c r="C76" t="inlineStr">
        <is>
          <t>Föryngringsavverkning</t>
        </is>
      </c>
      <c r="D76" s="1" t="n">
        <v>44796</v>
      </c>
      <c r="E76" s="1" t="n">
        <v>46269</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34584-2025</t>
        </is>
      </c>
      <c r="B77" t="inlineStr">
        <is>
          <t>avverkningsanmälan</t>
        </is>
      </c>
      <c r="C77" t="inlineStr">
        <is>
          <t>Föryngringsavverkning</t>
        </is>
      </c>
      <c r="D77" s="1" t="n">
        <v>45846</v>
      </c>
      <c r="E77" s="1" t="n">
        <v>46269</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33231-2024</t>
        </is>
      </c>
      <c r="B78" t="inlineStr">
        <is>
          <t>avverkningsanmälan</t>
        </is>
      </c>
      <c r="C78" t="inlineStr">
        <is>
          <t>Föryngringsavverkning</t>
        </is>
      </c>
      <c r="D78" s="1" t="n">
        <v>45518</v>
      </c>
      <c r="E78" s="1" t="n">
        <v>46269</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46269</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47785-2021</t>
        </is>
      </c>
      <c r="B80" t="inlineStr">
        <is>
          <t>avverkningsanmälan</t>
        </is>
      </c>
      <c r="C80" t="inlineStr">
        <is>
          <t>Föryngringsavverkning</t>
        </is>
      </c>
      <c r="D80" s="1" t="n">
        <v>44448</v>
      </c>
      <c r="E80" s="1" t="n">
        <v>46269</v>
      </c>
      <c r="F80" t="inlineStr">
        <is>
          <t>VÄSTMANLANDS LÄN</t>
        </is>
      </c>
      <c r="G80" t="inlineStr">
        <is>
          <t>SURAHAMMAR</t>
        </is>
      </c>
      <c r="H80" t="inlineStr">
        <is>
          <t>Kommuner</t>
        </is>
      </c>
      <c r="I80" t="n">
        <v>3.3</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HYPERLINK("https://klasma.github.io/Logging_1907/artfynd/A 47785-2021 artfynd.xlsx", "A 47785-2021")</f>
        <v/>
      </c>
      <c r="X80">
        <f>HYPERLINK("https://klasma.github.io/Logging_1907/kartor/A 47785-2021 karta.png", "A 47785-2021")</f>
        <v/>
      </c>
      <c r="Y80">
        <f>HYPERLINK("https://klasma.github.io/Logging_1907/kartor_geotiff/A 47785-2021 georefererad karta.tif", "A 47785-2021")</f>
        <v/>
      </c>
      <c r="AA80">
        <f>HYPERLINK("https://klasma.github.io/Logging_1907/klagomål/A 47785-2021 FSC-klagomål.docx", "A 47785-2021")</f>
        <v/>
      </c>
      <c r="AB80">
        <f>HYPERLINK("https://klasma.github.io/Logging_1907/klagomålsmail/A 47785-2021 FSC-klagomål mail.docx", "A 47785-2021")</f>
        <v/>
      </c>
      <c r="AC80">
        <f>HYPERLINK("https://klasma.github.io/Logging_1907/tillsyn/A 47785-2021 tillsynsbegäran.docx", "A 47785-2021")</f>
        <v/>
      </c>
      <c r="AD80">
        <f>HYPERLINK("https://klasma.github.io/Logging_1907/tillsynsmail/A 47785-2021 tillsynsbegäran mail.docx", "A 47785-2021")</f>
        <v/>
      </c>
    </row>
    <row r="81" ht="15" customHeight="1">
      <c r="A81" t="inlineStr">
        <is>
          <t>A 10883-2023</t>
        </is>
      </c>
      <c r="B81" t="inlineStr">
        <is>
          <t>avverkningsanmälan</t>
        </is>
      </c>
      <c r="C81" t="inlineStr">
        <is>
          <t>Föryngringsavverkning</t>
        </is>
      </c>
      <c r="D81" s="1" t="n">
        <v>44991</v>
      </c>
      <c r="E81" s="1" t="n">
        <v>46269</v>
      </c>
      <c r="F81" t="inlineStr">
        <is>
          <t>VÄSTMANLANDS LÄN</t>
        </is>
      </c>
      <c r="G81" t="inlineStr">
        <is>
          <t>SURAHAMMAR</t>
        </is>
      </c>
      <c r="H81" t="inlineStr">
        <is>
          <t>Övriga Aktiebolag</t>
        </is>
      </c>
      <c r="I81" t="n">
        <v>12.5</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HYPERLINK("https://klasma.github.io/Logging_1907/artfynd/A 10883-2023 artfynd.xlsx", "A 10883-2023")</f>
        <v/>
      </c>
      <c r="X81">
        <f>HYPERLINK("https://klasma.github.io/Logging_1907/kartor/A 10883-2023 karta.png", "A 10883-2023")</f>
        <v/>
      </c>
      <c r="Y81">
        <f>HYPERLINK("https://klasma.github.io/Logging_1907/kartor_geotiff/A 10883-2023 georefererad karta.tif", "A 10883-2023")</f>
        <v/>
      </c>
      <c r="AA81">
        <f>HYPERLINK("https://klasma.github.io/Logging_1907/klagomål/A 10883-2023 FSC-klagomål.docx", "A 10883-2023")</f>
        <v/>
      </c>
      <c r="AB81">
        <f>HYPERLINK("https://klasma.github.io/Logging_1907/klagomålsmail/A 10883-2023 FSC-klagomål mail.docx", "A 10883-2023")</f>
        <v/>
      </c>
      <c r="AC81">
        <f>HYPERLINK("https://klasma.github.io/Logging_1907/tillsyn/A 10883-2023 tillsynsbegäran.docx", "A 10883-2023")</f>
        <v/>
      </c>
      <c r="AD81">
        <f>HYPERLINK("https://klasma.github.io/Logging_1907/tillsynsmail/A 10883-2023 tillsynsbegäran mail.docx", "A 10883-2023")</f>
        <v/>
      </c>
      <c r="AE81">
        <f>HYPERLINK("https://klasma.github.io/Logging_1907/fåglar/A 10883-2023 prioriterade fågelarter.docx", "A 10883-2023")</f>
        <v/>
      </c>
    </row>
    <row r="82" ht="15" customHeight="1">
      <c r="A82" t="inlineStr">
        <is>
          <t>A 24167-2024</t>
        </is>
      </c>
      <c r="B82" t="inlineStr">
        <is>
          <t>avverkningsanmälan</t>
        </is>
      </c>
      <c r="C82" t="inlineStr">
        <is>
          <t>Avverkning för annat ändamål</t>
        </is>
      </c>
      <c r="D82" s="1" t="n">
        <v>45456</v>
      </c>
      <c r="E82" s="1" t="n">
        <v>46269</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17632-2022</t>
        </is>
      </c>
      <c r="B83" t="inlineStr">
        <is>
          <t>avverkningsanmälan</t>
        </is>
      </c>
      <c r="C83" t="inlineStr">
        <is>
          <t>Föryngringsavverkning</t>
        </is>
      </c>
      <c r="D83" s="1" t="n">
        <v>44680</v>
      </c>
      <c r="E83" s="1" t="n">
        <v>46269</v>
      </c>
      <c r="F83" t="inlineStr">
        <is>
          <t>VÄSTMANLANDS LÄN</t>
        </is>
      </c>
      <c r="G83" t="inlineStr">
        <is>
          <t>SURAHAMMAR</t>
        </is>
      </c>
      <c r="I83" t="n">
        <v>5.2</v>
      </c>
      <c r="J83" t="n">
        <v>0</v>
      </c>
      <c r="K83" t="n">
        <v>1</v>
      </c>
      <c r="L83" t="n">
        <v>0</v>
      </c>
      <c r="M83" t="n">
        <v>0</v>
      </c>
      <c r="N83" t="n">
        <v>0</v>
      </c>
      <c r="O83" t="n">
        <v>0</v>
      </c>
      <c r="P83" t="n">
        <v>0</v>
      </c>
      <c r="Q83" t="n">
        <v>0</v>
      </c>
      <c r="R83" t="n">
        <v>0</v>
      </c>
      <c r="S83" t="n">
        <v>1</v>
      </c>
      <c r="T83" t="n">
        <v>1</v>
      </c>
      <c r="U83" t="n">
        <v>0</v>
      </c>
      <c r="V83" s="2" t="inlineStr">
        <is>
          <t>Blodticka</t>
        </is>
      </c>
      <c r="W83">
        <f>HYPERLINK("https://klasma.github.io/Logging_1907/artfynd/A 17632-2022 artfynd.xlsx", "A 17632-2022")</f>
        <v/>
      </c>
      <c r="X83">
        <f>HYPERLINK("https://klasma.github.io/Logging_1907/kartor/A 17632-2022 karta.png", "A 17632-2022")</f>
        <v/>
      </c>
      <c r="Y83">
        <f>HYPERLINK("https://klasma.github.io/Logging_1907/kartor_geotiff/A 17632-2022 georefererad karta.tif", "A 17632-2022")</f>
        <v/>
      </c>
      <c r="AA83">
        <f>HYPERLINK("https://klasma.github.io/Logging_1907/klagomål/A 17632-2022 FSC-klagomål.docx", "A 17632-2022")</f>
        <v/>
      </c>
      <c r="AB83">
        <f>HYPERLINK("https://klasma.github.io/Logging_1907/klagomålsmail/A 17632-2022 FSC-klagomål mail.docx", "A 17632-2022")</f>
        <v/>
      </c>
      <c r="AC83">
        <f>HYPERLINK("https://klasma.github.io/Logging_1907/tillsyn/A 17632-2022 tillsynsbegäran.docx", "A 17632-2022")</f>
        <v/>
      </c>
      <c r="AD83">
        <f>HYPERLINK("https://klasma.github.io/Logging_1907/tillsynsmail/A 17632-2022 tillsynsbegäran mail.docx", "A 17632-2022")</f>
        <v/>
      </c>
    </row>
    <row r="84" ht="15" customHeight="1">
      <c r="A84" t="inlineStr">
        <is>
          <t>A 37287-2023</t>
        </is>
      </c>
      <c r="B84" t="inlineStr">
        <is>
          <t>avverkningsanmälan</t>
        </is>
      </c>
      <c r="C84" t="inlineStr">
        <is>
          <t>Föryngringsavverkning</t>
        </is>
      </c>
      <c r="D84" s="1" t="n">
        <v>45156</v>
      </c>
      <c r="E84" s="1" t="n">
        <v>46269</v>
      </c>
      <c r="F84" t="inlineStr">
        <is>
          <t>VÄSTMANLANDS LÄN</t>
        </is>
      </c>
      <c r="G84" t="inlineStr">
        <is>
          <t>SURAHAMMAR</t>
        </is>
      </c>
      <c r="I84" t="n">
        <v>0.6</v>
      </c>
      <c r="J84" t="n">
        <v>0</v>
      </c>
      <c r="K84" t="n">
        <v>0</v>
      </c>
      <c r="L84" t="n">
        <v>1</v>
      </c>
      <c r="M84" t="n">
        <v>0</v>
      </c>
      <c r="N84" t="n">
        <v>0</v>
      </c>
      <c r="O84" t="n">
        <v>0</v>
      </c>
      <c r="P84" t="n">
        <v>0</v>
      </c>
      <c r="Q84" t="n">
        <v>1</v>
      </c>
      <c r="R84" t="n">
        <v>0</v>
      </c>
      <c r="S84" t="n">
        <v>1</v>
      </c>
      <c r="T84" t="n">
        <v>1</v>
      </c>
      <c r="U84" t="n">
        <v>0</v>
      </c>
      <c r="V84" s="2" t="inlineStr">
        <is>
          <t>Mindre tåtelsmygare</t>
        </is>
      </c>
      <c r="W84">
        <f>HYPERLINK("https://klasma.github.io/Logging_1907/artfynd/A 37287-2023 artfynd.xlsx", "A 37287-2023")</f>
        <v/>
      </c>
      <c r="X84">
        <f>HYPERLINK("https://klasma.github.io/Logging_1907/kartor/A 37287-2023 karta.png", "A 37287-2023")</f>
        <v/>
      </c>
      <c r="Y84">
        <f>HYPERLINK("https://klasma.github.io/Logging_1907/kartor_geotiff/A 37287-2023 georefererad karta.tif", "A 37287-2023")</f>
        <v/>
      </c>
      <c r="AA84">
        <f>HYPERLINK("https://klasma.github.io/Logging_1907/klagomål/A 37287-2023 FSC-klagomål.docx", "A 37287-2023")</f>
        <v/>
      </c>
      <c r="AB84">
        <f>HYPERLINK("https://klasma.github.io/Logging_1907/klagomålsmail/A 37287-2023 FSC-klagomål mail.docx", "A 37287-2023")</f>
        <v/>
      </c>
      <c r="AC84">
        <f>HYPERLINK("https://klasma.github.io/Logging_1907/tillsyn/A 37287-2023 tillsynsbegäran.docx", "A 37287-2023")</f>
        <v/>
      </c>
      <c r="AD84">
        <f>HYPERLINK("https://klasma.github.io/Logging_1907/tillsynsmail/A 37287-2023 tillsynsbegäran mail.docx", "A 37287-2023")</f>
        <v/>
      </c>
    </row>
    <row r="85" ht="15" customHeight="1">
      <c r="A85" t="inlineStr">
        <is>
          <t>A 44356-2024</t>
        </is>
      </c>
      <c r="B85" t="inlineStr">
        <is>
          <t>avverkningsanmälan</t>
        </is>
      </c>
      <c r="C85" t="inlineStr">
        <is>
          <t>Föryngringsavverkning</t>
        </is>
      </c>
      <c r="D85" s="1" t="n">
        <v>45573</v>
      </c>
      <c r="E85" s="1" t="n">
        <v>46269</v>
      </c>
      <c r="F85" t="inlineStr">
        <is>
          <t>VÄSTMANLANDS LÄN</t>
        </is>
      </c>
      <c r="G85" t="inlineStr">
        <is>
          <t>SURAHAMMAR</t>
        </is>
      </c>
      <c r="H85" t="inlineStr">
        <is>
          <t>Sveaskog</t>
        </is>
      </c>
      <c r="I85" t="n">
        <v>0.7</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HYPERLINK("https://klasma.github.io/Logging_1907/artfynd/A 44356-2024 artfynd.xlsx", "A 44356-2024")</f>
        <v/>
      </c>
      <c r="X85">
        <f>HYPERLINK("https://klasma.github.io/Logging_1907/kartor/A 44356-2024 karta.png", "A 44356-2024")</f>
        <v/>
      </c>
      <c r="Y85">
        <f>HYPERLINK("https://klasma.github.io/Logging_1907/kartor_geotiff/A 44356-2024 georefererad karta.tif", "A 44356-2024")</f>
        <v/>
      </c>
      <c r="AA85">
        <f>HYPERLINK("https://klasma.github.io/Logging_1907/klagomål/A 44356-2024 FSC-klagomål.docx", "A 44356-2024")</f>
        <v/>
      </c>
      <c r="AB85">
        <f>HYPERLINK("https://klasma.github.io/Logging_1907/klagomålsmail/A 44356-2024 FSC-klagomål mail.docx", "A 44356-2024")</f>
        <v/>
      </c>
      <c r="AC85">
        <f>HYPERLINK("https://klasma.github.io/Logging_1907/tillsyn/A 44356-2024 tillsynsbegäran.docx", "A 44356-2024")</f>
        <v/>
      </c>
      <c r="AD85">
        <f>HYPERLINK("https://klasma.github.io/Logging_1907/tillsynsmail/A 44356-2024 tillsynsbegäran mail.docx", "A 44356-2024")</f>
        <v/>
      </c>
    </row>
    <row r="86" ht="15" customHeight="1">
      <c r="A86" t="inlineStr">
        <is>
          <t>A 31589-2026</t>
        </is>
      </c>
      <c r="B86" t="inlineStr">
        <is>
          <t>avverkningsanmälan</t>
        </is>
      </c>
      <c r="C86" t="inlineStr">
        <is>
          <t>Föryngringsavverkning</t>
        </is>
      </c>
      <c r="D86" s="1" t="n">
        <v>46224</v>
      </c>
      <c r="E86" s="1" t="n">
        <v>46269</v>
      </c>
      <c r="F86" t="inlineStr">
        <is>
          <t>VÄSTMANLANDS LÄN</t>
        </is>
      </c>
      <c r="G86" t="inlineStr">
        <is>
          <t>SURAHAMMAR</t>
        </is>
      </c>
      <c r="H86" t="inlineStr">
        <is>
          <t>Allmännings- och besparingsskogar</t>
        </is>
      </c>
      <c r="I86" t="n">
        <v>7</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HYPERLINK("https://klasma.github.io/Logging_1907/artfynd/A 31589-2026 artfynd.xlsx", "A 31589-2026")</f>
        <v/>
      </c>
      <c r="X86">
        <f>HYPERLINK("https://klasma.github.io/Logging_1907/kartor/A 31589-2026 karta.png", "A 31589-2026")</f>
        <v/>
      </c>
      <c r="Y86">
        <f>HYPERLINK("https://klasma.github.io/Logging_1907/kartor_geotiff/A 31589-2026 georefererad karta.tif", "A 31589-2026")</f>
        <v/>
      </c>
      <c r="AA86">
        <f>HYPERLINK("https://klasma.github.io/Logging_1907/klagomål/A 31589-2026 FSC-klagomål.docx", "A 31589-2026")</f>
        <v/>
      </c>
      <c r="AB86">
        <f>HYPERLINK("https://klasma.github.io/Logging_1907/klagomålsmail/A 31589-2026 FSC-klagomål mail.docx", "A 31589-2026")</f>
        <v/>
      </c>
      <c r="AC86">
        <f>HYPERLINK("https://klasma.github.io/Logging_1907/tillsyn/A 31589-2026 tillsynsbegäran.docx", "A 31589-2026")</f>
        <v/>
      </c>
      <c r="AD86">
        <f>HYPERLINK("https://klasma.github.io/Logging_1907/tillsynsmail/A 31589-2026 tillsynsbegäran mail.docx", "A 31589-2026")</f>
        <v/>
      </c>
    </row>
    <row r="87" ht="15" customHeight="1">
      <c r="A87" t="inlineStr">
        <is>
          <t>A 64073-2021</t>
        </is>
      </c>
      <c r="B87" t="inlineStr">
        <is>
          <t>avverkningsanmälan</t>
        </is>
      </c>
      <c r="C87" t="inlineStr">
        <is>
          <t>Avverkning för annat ändamål</t>
        </is>
      </c>
      <c r="D87" s="1" t="n">
        <v>44509</v>
      </c>
      <c r="E87" s="1" t="n">
        <v>46269</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46269</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46269</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19637-2022</t>
        </is>
      </c>
      <c r="B90" t="inlineStr">
        <is>
          <t>avverkningsanmälan</t>
        </is>
      </c>
      <c r="C90" t="inlineStr">
        <is>
          <t>Avverkning för annat ändamål</t>
        </is>
      </c>
      <c r="D90" s="1" t="n">
        <v>44694</v>
      </c>
      <c r="E90" s="1" t="n">
        <v>46269</v>
      </c>
      <c r="F90" t="inlineStr">
        <is>
          <t>VÄSTMANLANDS LÄN</t>
        </is>
      </c>
      <c r="G90" t="inlineStr">
        <is>
          <t>SURAHAMMAR</t>
        </is>
      </c>
      <c r="H90" t="inlineStr">
        <is>
          <t>Bergvik skog väst AB</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46269</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66342-2021</t>
        </is>
      </c>
      <c r="B92" t="inlineStr">
        <is>
          <t>avverkningsanmälan</t>
        </is>
      </c>
      <c r="C92" t="inlineStr">
        <is>
          <t>Föryngringsavverkning</t>
        </is>
      </c>
      <c r="D92" s="1" t="n">
        <v>44518</v>
      </c>
      <c r="E92" s="1" t="n">
        <v>46269</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73156-2021</t>
        </is>
      </c>
      <c r="B93" t="inlineStr">
        <is>
          <t>avverkningsanmälan</t>
        </is>
      </c>
      <c r="C93" t="inlineStr">
        <is>
          <t>Föryngringsavverkning</t>
        </is>
      </c>
      <c r="D93" s="1" t="n">
        <v>44550</v>
      </c>
      <c r="E93" s="1" t="n">
        <v>46269</v>
      </c>
      <c r="F93" t="inlineStr">
        <is>
          <t>VÄSTMANLANDS LÄN</t>
        </is>
      </c>
      <c r="G93" t="inlineStr">
        <is>
          <t>SURAHAMMAR</t>
        </is>
      </c>
      <c r="H93" t="inlineStr">
        <is>
          <t>Övriga Aktiebolag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3155-2022</t>
        </is>
      </c>
      <c r="B94" t="inlineStr">
        <is>
          <t>avverkningsanmälan</t>
        </is>
      </c>
      <c r="C94" t="inlineStr">
        <is>
          <t>Föryngringsavverkning</t>
        </is>
      </c>
      <c r="D94" s="1" t="n">
        <v>44582</v>
      </c>
      <c r="E94" s="1" t="n">
        <v>46269</v>
      </c>
      <c r="F94" t="inlineStr">
        <is>
          <t>VÄSTMANLANDS LÄN</t>
        </is>
      </c>
      <c r="G94" t="inlineStr">
        <is>
          <t>SURAHAMMAR</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19782-2023</t>
        </is>
      </c>
      <c r="B95" t="inlineStr">
        <is>
          <t>avverkningsanmälan</t>
        </is>
      </c>
      <c r="C95" t="inlineStr">
        <is>
          <t>Föryngringsavverkning</t>
        </is>
      </c>
      <c r="D95" s="1" t="n">
        <v>45050</v>
      </c>
      <c r="E95" s="1" t="n">
        <v>46269</v>
      </c>
      <c r="F95" t="inlineStr">
        <is>
          <t>VÄSTMANLANDS LÄN</t>
        </is>
      </c>
      <c r="G95" t="inlineStr">
        <is>
          <t>SURAHAMMAR</t>
        </is>
      </c>
      <c r="H95" t="inlineStr">
        <is>
          <t>Bergvik skog väst AB</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14626-2023</t>
        </is>
      </c>
      <c r="B96" t="inlineStr">
        <is>
          <t>avverkningsanmälan</t>
        </is>
      </c>
      <c r="C96" t="inlineStr">
        <is>
          <t>Föryngringsavverkning</t>
        </is>
      </c>
      <c r="D96" s="1" t="n">
        <v>45012</v>
      </c>
      <c r="E96" s="1" t="n">
        <v>46269</v>
      </c>
      <c r="F96" t="inlineStr">
        <is>
          <t>VÄSTMANLANDS LÄN</t>
        </is>
      </c>
      <c r="G96" t="inlineStr">
        <is>
          <t>SURAHAMMAR</t>
        </is>
      </c>
      <c r="H96" t="inlineStr">
        <is>
          <t>Bergvik skog väst AB</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34957-2022</t>
        </is>
      </c>
      <c r="B97" t="inlineStr">
        <is>
          <t>avverkningsanmälan</t>
        </is>
      </c>
      <c r="C97" t="inlineStr">
        <is>
          <t>Föryngringsavverkning</t>
        </is>
      </c>
      <c r="D97" s="1" t="n">
        <v>44796</v>
      </c>
      <c r="E97" s="1" t="n">
        <v>46269</v>
      </c>
      <c r="F97" t="inlineStr">
        <is>
          <t>VÄSTMANLANDS LÄN</t>
        </is>
      </c>
      <c r="G97" t="inlineStr">
        <is>
          <t>SURAHAMMAR</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56378-2023</t>
        </is>
      </c>
      <c r="B98" t="inlineStr">
        <is>
          <t>avverkningsanmälan</t>
        </is>
      </c>
      <c r="C98" t="inlineStr">
        <is>
          <t>Föryngringsavverkning</t>
        </is>
      </c>
      <c r="D98" s="1" t="n">
        <v>45236</v>
      </c>
      <c r="E98" s="1" t="n">
        <v>46269</v>
      </c>
      <c r="F98" t="inlineStr">
        <is>
          <t>VÄSTMANLANDS LÄN</t>
        </is>
      </c>
      <c r="G98" t="inlineStr">
        <is>
          <t>SURAHAMMAR</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46269</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11728-2023</t>
        </is>
      </c>
      <c r="B100" t="inlineStr">
        <is>
          <t>avverkningsanmälan</t>
        </is>
      </c>
      <c r="C100" t="inlineStr">
        <is>
          <t>Avverkning för att bevara och utveckla /försöksver</t>
        </is>
      </c>
      <c r="D100" s="1" t="n">
        <v>44993</v>
      </c>
      <c r="E100" s="1" t="n">
        <v>46269</v>
      </c>
      <c r="F100" t="inlineStr">
        <is>
          <t>VÄSTMANLANDS LÄN</t>
        </is>
      </c>
      <c r="G100" t="inlineStr">
        <is>
          <t>SURAHAMMAR</t>
        </is>
      </c>
      <c r="H100" t="inlineStr">
        <is>
          <t>Bergvik skog väst AB</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21509-2024</t>
        </is>
      </c>
      <c r="B101" t="inlineStr">
        <is>
          <t>avverkningsanmälan</t>
        </is>
      </c>
      <c r="C101" t="inlineStr">
        <is>
          <t>Föryngringsavverkning</t>
        </is>
      </c>
      <c r="D101" s="1" t="n">
        <v>45441</v>
      </c>
      <c r="E101" s="1" t="n">
        <v>46269</v>
      </c>
      <c r="F101" t="inlineStr">
        <is>
          <t>VÄSTMANLANDS LÄN</t>
        </is>
      </c>
      <c r="G101" t="inlineStr">
        <is>
          <t>SURAHAMMAR</t>
        </is>
      </c>
      <c r="H101" t="inlineStr">
        <is>
          <t>Bergvik skog väst AB</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42832-2022</t>
        </is>
      </c>
      <c r="B102" t="inlineStr">
        <is>
          <t>avverkningsanmälan</t>
        </is>
      </c>
      <c r="C102" t="inlineStr">
        <is>
          <t>Avverkning för annat ändamål</t>
        </is>
      </c>
      <c r="D102" s="1" t="n">
        <v>44832</v>
      </c>
      <c r="E102" s="1" t="n">
        <v>46269</v>
      </c>
      <c r="F102" t="inlineStr">
        <is>
          <t>VÄSTMANLANDS LÄN</t>
        </is>
      </c>
      <c r="G102" t="inlineStr">
        <is>
          <t>SURAHAMMAR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42841-2022</t>
        </is>
      </c>
      <c r="B103" t="inlineStr">
        <is>
          <t>avverkningsanmälan</t>
        </is>
      </c>
      <c r="C103" t="inlineStr">
        <is>
          <t>Avverkning för annat ändamål</t>
        </is>
      </c>
      <c r="D103" s="1" t="n">
        <v>44832</v>
      </c>
      <c r="E103" s="1" t="n">
        <v>46269</v>
      </c>
      <c r="F103" t="inlineStr">
        <is>
          <t>VÄSTMANLANDS LÄN</t>
        </is>
      </c>
      <c r="G103" t="inlineStr">
        <is>
          <t>SURAHAMMAR</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24158-2023</t>
        </is>
      </c>
      <c r="B104" t="inlineStr">
        <is>
          <t>avverkningsanmälan</t>
        </is>
      </c>
      <c r="C104" t="inlineStr">
        <is>
          <t>Föryngringsavverkning</t>
        </is>
      </c>
      <c r="D104" s="1" t="n">
        <v>45079</v>
      </c>
      <c r="E104" s="1" t="n">
        <v>46269</v>
      </c>
      <c r="F104" t="inlineStr">
        <is>
          <t>VÄSTMANLANDS LÄN</t>
        </is>
      </c>
      <c r="G104" t="inlineStr">
        <is>
          <t>SURAHAMMAR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20904-2023</t>
        </is>
      </c>
      <c r="B105" t="inlineStr">
        <is>
          <t>avverkningsanmälan</t>
        </is>
      </c>
      <c r="C105" t="inlineStr">
        <is>
          <t>Avverkning för att bevara och utveckla /försöksver</t>
        </is>
      </c>
      <c r="D105" s="1" t="n">
        <v>45060</v>
      </c>
      <c r="E105" s="1" t="n">
        <v>46269</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42829-2022</t>
        </is>
      </c>
      <c r="B106" t="inlineStr">
        <is>
          <t>avverkningsanmälan</t>
        </is>
      </c>
      <c r="C106" t="inlineStr">
        <is>
          <t>Avverkning för annat ändamål</t>
        </is>
      </c>
      <c r="D106" s="1" t="n">
        <v>44832</v>
      </c>
      <c r="E106" s="1" t="n">
        <v>46269</v>
      </c>
      <c r="F106" t="inlineStr">
        <is>
          <t>VÄSTMANLANDS LÄN</t>
        </is>
      </c>
      <c r="G106" t="inlineStr">
        <is>
          <t>SURAHAMMAR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25780-2023</t>
        </is>
      </c>
      <c r="B107" t="inlineStr">
        <is>
          <t>avverkningsanmälan</t>
        </is>
      </c>
      <c r="C107" t="inlineStr">
        <is>
          <t>Föryngringsavverkning</t>
        </is>
      </c>
      <c r="D107" s="1" t="n">
        <v>45090</v>
      </c>
      <c r="E107" s="1" t="n">
        <v>46269</v>
      </c>
      <c r="F107" t="inlineStr">
        <is>
          <t>VÄSTMANLANDS LÄN</t>
        </is>
      </c>
      <c r="G107" t="inlineStr">
        <is>
          <t>SURAHAMMAR</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48205-2023</t>
        </is>
      </c>
      <c r="B108" t="inlineStr">
        <is>
          <t>avverkningsanmälan</t>
        </is>
      </c>
      <c r="C108" t="inlineStr">
        <is>
          <t>Föryngringsavverkning</t>
        </is>
      </c>
      <c r="D108" s="1" t="n">
        <v>45205</v>
      </c>
      <c r="E108" s="1" t="n">
        <v>46269</v>
      </c>
      <c r="F108" t="inlineStr">
        <is>
          <t>VÄSTMANLANDS LÄN</t>
        </is>
      </c>
      <c r="G108" t="inlineStr">
        <is>
          <t>SURAHAMMAR</t>
        </is>
      </c>
      <c r="H108" t="inlineStr">
        <is>
          <t>Allmännings- och besparingsskogar</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33931-2022</t>
        </is>
      </c>
      <c r="B109" t="inlineStr">
        <is>
          <t>avverkningsanmälan</t>
        </is>
      </c>
      <c r="C109" t="inlineStr">
        <is>
          <t>Föryngringsavverkning</t>
        </is>
      </c>
      <c r="D109" s="1" t="n">
        <v>44790</v>
      </c>
      <c r="E109" s="1" t="n">
        <v>46269</v>
      </c>
      <c r="F109" t="inlineStr">
        <is>
          <t>VÄSTMANLANDS LÄN</t>
        </is>
      </c>
      <c r="G109" t="inlineStr">
        <is>
          <t>SURAHAMMAR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22662-2023</t>
        </is>
      </c>
      <c r="B110" t="inlineStr">
        <is>
          <t>avverkningsanmälan</t>
        </is>
      </c>
      <c r="C110" t="inlineStr">
        <is>
          <t>Avverkning för att bevara och utveckla /försöksver</t>
        </is>
      </c>
      <c r="D110" s="1" t="n">
        <v>45071</v>
      </c>
      <c r="E110" s="1" t="n">
        <v>46269</v>
      </c>
      <c r="F110" t="inlineStr">
        <is>
          <t>VÄSTMANLANDS LÄN</t>
        </is>
      </c>
      <c r="G110" t="inlineStr">
        <is>
          <t>SURAHAMMAR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3818-2022</t>
        </is>
      </c>
      <c r="B111" t="inlineStr">
        <is>
          <t>avverkningsanmälan</t>
        </is>
      </c>
      <c r="C111" t="inlineStr">
        <is>
          <t>Föryngringsavverkning</t>
        </is>
      </c>
      <c r="D111" s="1" t="n">
        <v>44587</v>
      </c>
      <c r="E111" s="1" t="n">
        <v>46269</v>
      </c>
      <c r="F111" t="inlineStr">
        <is>
          <t>VÄSTMANLANDS LÄN</t>
        </is>
      </c>
      <c r="G111" t="inlineStr">
        <is>
          <t>SURAHAMMAR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37954-2025</t>
        </is>
      </c>
      <c r="B112" t="inlineStr">
        <is>
          <t>avverkningsanmälan</t>
        </is>
      </c>
      <c r="C112" t="inlineStr">
        <is>
          <t>Föryngringsavverkning</t>
        </is>
      </c>
      <c r="D112" s="1" t="n">
        <v>45881</v>
      </c>
      <c r="E112" s="1" t="n">
        <v>46269</v>
      </c>
      <c r="F112" t="inlineStr">
        <is>
          <t>VÄSTMANLANDS LÄN</t>
        </is>
      </c>
      <c r="G112" t="inlineStr">
        <is>
          <t>SURAHAMMAR</t>
        </is>
      </c>
      <c r="I112" t="n">
        <v>9.5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35682-2022</t>
        </is>
      </c>
      <c r="B113" t="inlineStr">
        <is>
          <t>avverkningsanmälan</t>
        </is>
      </c>
      <c r="C113" t="inlineStr">
        <is>
          <t>Föryngringsavverkning</t>
        </is>
      </c>
      <c r="D113" s="1" t="n">
        <v>44799</v>
      </c>
      <c r="E113" s="1" t="n">
        <v>46269</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2867-2024</t>
        </is>
      </c>
      <c r="B114" t="inlineStr">
        <is>
          <t>avverkningsanmälan</t>
        </is>
      </c>
      <c r="C114" t="inlineStr">
        <is>
          <t>Föryngringsavverkning</t>
        </is>
      </c>
      <c r="D114" s="1" t="n">
        <v>45315</v>
      </c>
      <c r="E114" s="1" t="n">
        <v>46269</v>
      </c>
      <c r="F114" t="inlineStr">
        <is>
          <t>VÄSTMANLANDS LÄN</t>
        </is>
      </c>
      <c r="G114" t="inlineStr">
        <is>
          <t>SURAHAMMAR</t>
        </is>
      </c>
      <c r="H114" t="inlineStr">
        <is>
          <t>Bergvik skog väst AB</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2660-2024</t>
        </is>
      </c>
      <c r="B115" t="inlineStr">
        <is>
          <t>avverkningsanmälan</t>
        </is>
      </c>
      <c r="C115" t="inlineStr">
        <is>
          <t>Föryngringsavverkning</t>
        </is>
      </c>
      <c r="D115" s="1" t="n">
        <v>45310</v>
      </c>
      <c r="E115" s="1" t="n">
        <v>46269</v>
      </c>
      <c r="F115" t="inlineStr">
        <is>
          <t>VÄSTMANLANDS LÄN</t>
        </is>
      </c>
      <c r="G115" t="inlineStr">
        <is>
          <t>SURAHAMMAR</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25450-2024</t>
        </is>
      </c>
      <c r="B116" t="inlineStr">
        <is>
          <t>avverkningsanmälan</t>
        </is>
      </c>
      <c r="C116" t="inlineStr">
        <is>
          <t>Föryngringsavverkning</t>
        </is>
      </c>
      <c r="D116" s="1" t="n">
        <v>45463</v>
      </c>
      <c r="E116" s="1" t="n">
        <v>46269</v>
      </c>
      <c r="F116" t="inlineStr">
        <is>
          <t>VÄSTMANLANDS LÄN</t>
        </is>
      </c>
      <c r="G116" t="inlineStr">
        <is>
          <t>SURAHAMMAR</t>
        </is>
      </c>
      <c r="H116" t="inlineStr">
        <is>
          <t>Bergvik skog väst AB</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24665-2023</t>
        </is>
      </c>
      <c r="B117" t="inlineStr">
        <is>
          <t>avverkningsanmälan</t>
        </is>
      </c>
      <c r="C117" t="inlineStr">
        <is>
          <t>Föryngringsavverkning</t>
        </is>
      </c>
      <c r="D117" s="1" t="n">
        <v>45084</v>
      </c>
      <c r="E117" s="1" t="n">
        <v>46269</v>
      </c>
      <c r="F117" t="inlineStr">
        <is>
          <t>VÄSTMANLANDS LÄN</t>
        </is>
      </c>
      <c r="G117" t="inlineStr">
        <is>
          <t>SURAHAMMAR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5567-2022</t>
        </is>
      </c>
      <c r="B118" t="inlineStr">
        <is>
          <t>avverkningsanmälan</t>
        </is>
      </c>
      <c r="C118" t="inlineStr">
        <is>
          <t>Föryngringsavverkning</t>
        </is>
      </c>
      <c r="D118" s="1" t="n">
        <v>44595</v>
      </c>
      <c r="E118" s="1" t="n">
        <v>46269</v>
      </c>
      <c r="F118" t="inlineStr">
        <is>
          <t>VÄSTMANLANDS LÄN</t>
        </is>
      </c>
      <c r="G118" t="inlineStr">
        <is>
          <t>SURAHAMMAR</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72367-2021</t>
        </is>
      </c>
      <c r="B119" t="inlineStr">
        <is>
          <t>avverkningsanmälan</t>
        </is>
      </c>
      <c r="C119" t="inlineStr">
        <is>
          <t>Föryngringsavverkning</t>
        </is>
      </c>
      <c r="D119" s="1" t="n">
        <v>44545</v>
      </c>
      <c r="E119" s="1" t="n">
        <v>46269</v>
      </c>
      <c r="F119" t="inlineStr">
        <is>
          <t>VÄSTMANLANDS LÄN</t>
        </is>
      </c>
      <c r="G119" t="inlineStr">
        <is>
          <t>SURAHAMMAR</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32808-2024</t>
        </is>
      </c>
      <c r="B120" t="inlineStr">
        <is>
          <t>avverkningsanmälan</t>
        </is>
      </c>
      <c r="C120" t="inlineStr">
        <is>
          <t>Föryngringsavverkning</t>
        </is>
      </c>
      <c r="D120" s="1" t="n">
        <v>45516</v>
      </c>
      <c r="E120" s="1" t="n">
        <v>46269</v>
      </c>
      <c r="F120" t="inlineStr">
        <is>
          <t>VÄSTMANLANDS LÄN</t>
        </is>
      </c>
      <c r="G120" t="inlineStr">
        <is>
          <t>SURAHAMMAR</t>
        </is>
      </c>
      <c r="H120" t="inlineStr">
        <is>
          <t>Övriga Aktiebolag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42714-2022</t>
        </is>
      </c>
      <c r="B121" t="inlineStr">
        <is>
          <t>avverkningsanmälan</t>
        </is>
      </c>
      <c r="C121" t="inlineStr">
        <is>
          <t>Föryngringsavverkning</t>
        </is>
      </c>
      <c r="D121" s="1" t="n">
        <v>44832</v>
      </c>
      <c r="E121" s="1" t="n">
        <v>46269</v>
      </c>
      <c r="F121" t="inlineStr">
        <is>
          <t>VÄSTMANLANDS LÄN</t>
        </is>
      </c>
      <c r="G121" t="inlineStr">
        <is>
          <t>SURAHAMMAR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20535-2026</t>
        </is>
      </c>
      <c r="B122" t="inlineStr">
        <is>
          <t>avverkningsanmälan</t>
        </is>
      </c>
      <c r="C122" t="inlineStr">
        <is>
          <t>Avverkning för annat ändamål</t>
        </is>
      </c>
      <c r="D122" s="1" t="n">
        <v>46140</v>
      </c>
      <c r="E122" s="1" t="n">
        <v>46269</v>
      </c>
      <c r="F122" t="inlineStr">
        <is>
          <t>VÄSTMANLANDS LÄN</t>
        </is>
      </c>
      <c r="G122" t="inlineStr">
        <is>
          <t>SURAHAMMAR</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49058-2024</t>
        </is>
      </c>
      <c r="B123" t="inlineStr">
        <is>
          <t>avverkningsanmälan</t>
        </is>
      </c>
      <c r="C123" t="inlineStr">
        <is>
          <t>Föryngringsavverkning</t>
        </is>
      </c>
      <c r="D123" s="1" t="n">
        <v>45594</v>
      </c>
      <c r="E123" s="1" t="n">
        <v>46269</v>
      </c>
      <c r="F123" t="inlineStr">
        <is>
          <t>VÄSTMANLANDS LÄN</t>
        </is>
      </c>
      <c r="G123" t="inlineStr">
        <is>
          <t>SURAHAMMAR</t>
        </is>
      </c>
      <c r="H123" t="inlineStr">
        <is>
          <t>Sveaskog</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19099-2022</t>
        </is>
      </c>
      <c r="B124" t="inlineStr">
        <is>
          <t>avverkningsanmälan</t>
        </is>
      </c>
      <c r="C124" t="inlineStr">
        <is>
          <t>Föryngringsavverkning</t>
        </is>
      </c>
      <c r="D124" s="1" t="n">
        <v>44691</v>
      </c>
      <c r="E124" s="1" t="n">
        <v>46269</v>
      </c>
      <c r="F124" t="inlineStr">
        <is>
          <t>VÄSTMANLANDS LÄN</t>
        </is>
      </c>
      <c r="G124" t="inlineStr">
        <is>
          <t>SURAHAMMAR</t>
        </is>
      </c>
      <c r="H124" t="inlineStr">
        <is>
          <t>Övriga Aktiebolag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55873-2025</t>
        </is>
      </c>
      <c r="B125" t="inlineStr">
        <is>
          <t>avverkningsanmälan</t>
        </is>
      </c>
      <c r="C125" t="inlineStr">
        <is>
          <t>Föryngringsavverkning</t>
        </is>
      </c>
      <c r="D125" s="1" t="n">
        <v>45973</v>
      </c>
      <c r="E125" s="1" t="n">
        <v>46269</v>
      </c>
      <c r="F125" t="inlineStr">
        <is>
          <t>VÄSTMANLANDS LÄN</t>
        </is>
      </c>
      <c r="G125" t="inlineStr">
        <is>
          <t>SURAHAMMAR</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46269</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3085-2023</t>
        </is>
      </c>
      <c r="B127" t="inlineStr">
        <is>
          <t>avverkningsanmälan</t>
        </is>
      </c>
      <c r="C127" t="inlineStr">
        <is>
          <t>Föryngringsavverkning</t>
        </is>
      </c>
      <c r="D127" s="1" t="n">
        <v>44946</v>
      </c>
      <c r="E127" s="1" t="n">
        <v>46269</v>
      </c>
      <c r="F127" t="inlineStr">
        <is>
          <t>VÄSTMANLANDS LÄN</t>
        </is>
      </c>
      <c r="G127" t="inlineStr">
        <is>
          <t>SURAHAMMAR</t>
        </is>
      </c>
      <c r="H127" t="inlineStr">
        <is>
          <t>Kyrkan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46269</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32223-2026</t>
        </is>
      </c>
      <c r="B129" t="inlineStr">
        <is>
          <t>avverkningsanmälan</t>
        </is>
      </c>
      <c r="C129" t="inlineStr">
        <is>
          <t>Föryngringsavverkning</t>
        </is>
      </c>
      <c r="D129" s="1" t="n">
        <v>46237</v>
      </c>
      <c r="E129" s="1" t="n">
        <v>46269</v>
      </c>
      <c r="F129" t="inlineStr">
        <is>
          <t>VÄSTMANLANDS LÄN</t>
        </is>
      </c>
      <c r="G129" t="inlineStr">
        <is>
          <t>SURAHAMMAR</t>
        </is>
      </c>
      <c r="H129" t="inlineStr">
        <is>
          <t>Allmännings- och besparingsskogar</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32501-2026</t>
        </is>
      </c>
      <c r="B130" t="inlineStr">
        <is>
          <t>avverkningsanmälan</t>
        </is>
      </c>
      <c r="C130" t="inlineStr">
        <is>
          <t>Avverkning för annat ändamål</t>
        </is>
      </c>
      <c r="D130" s="1" t="n">
        <v>46239</v>
      </c>
      <c r="E130" s="1" t="n">
        <v>46269</v>
      </c>
      <c r="F130" t="inlineStr">
        <is>
          <t>VÄSTMANLANDS LÄN</t>
        </is>
      </c>
      <c r="G130" t="inlineStr">
        <is>
          <t>SURAHAMMAR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22628-2026</t>
        </is>
      </c>
      <c r="B131" t="inlineStr">
        <is>
          <t>avverkningsanmälan</t>
        </is>
      </c>
      <c r="C131" t="inlineStr">
        <is>
          <t>Föryngringsavverkning</t>
        </is>
      </c>
      <c r="D131" s="1" t="n">
        <v>46155</v>
      </c>
      <c r="E131" s="1" t="n">
        <v>46269</v>
      </c>
      <c r="F131" t="inlineStr">
        <is>
          <t>VÄSTMANLANDS LÄN</t>
        </is>
      </c>
      <c r="G131" t="inlineStr">
        <is>
          <t>SURAHAMMAR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4724-2026</t>
        </is>
      </c>
      <c r="B132" t="inlineStr">
        <is>
          <t>avverkningsanmälan</t>
        </is>
      </c>
      <c r="C132" t="inlineStr">
        <is>
          <t>Föryngringsavverkning</t>
        </is>
      </c>
      <c r="D132" s="1" t="n">
        <v>46048</v>
      </c>
      <c r="E132" s="1" t="n">
        <v>46269</v>
      </c>
      <c r="F132" t="inlineStr">
        <is>
          <t>VÄSTMANLANDS LÄN</t>
        </is>
      </c>
      <c r="G132" t="inlineStr">
        <is>
          <t>SURAHAMMAR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4734-2026</t>
        </is>
      </c>
      <c r="B133" t="inlineStr">
        <is>
          <t>avverkningsanmälan</t>
        </is>
      </c>
      <c r="C133" t="inlineStr">
        <is>
          <t>Föryngringsavverkning</t>
        </is>
      </c>
      <c r="D133" s="1" t="n">
        <v>46048</v>
      </c>
      <c r="E133" s="1" t="n">
        <v>46269</v>
      </c>
      <c r="F133" t="inlineStr">
        <is>
          <t>VÄSTMANLANDS LÄN</t>
        </is>
      </c>
      <c r="G133" t="inlineStr">
        <is>
          <t>SURAHAMMAR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15743-2023</t>
        </is>
      </c>
      <c r="B134" t="inlineStr">
        <is>
          <t>avverkningsanmälan</t>
        </is>
      </c>
      <c r="C134" t="inlineStr">
        <is>
          <t>Föryngringsavverkning</t>
        </is>
      </c>
      <c r="D134" s="1" t="n">
        <v>45021</v>
      </c>
      <c r="E134" s="1" t="n">
        <v>46269</v>
      </c>
      <c r="F134" t="inlineStr">
        <is>
          <t>VÄSTMANLANDS LÄN</t>
        </is>
      </c>
      <c r="G134" t="inlineStr">
        <is>
          <t>SURAHAMMAR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10244-2026</t>
        </is>
      </c>
      <c r="B135" t="inlineStr">
        <is>
          <t>avverkningsanmälan</t>
        </is>
      </c>
      <c r="C135" t="inlineStr">
        <is>
          <t>Föryngringsavverkning</t>
        </is>
      </c>
      <c r="D135" s="1" t="n">
        <v>46076</v>
      </c>
      <c r="E135" s="1" t="n">
        <v>46269</v>
      </c>
      <c r="F135" t="inlineStr">
        <is>
          <t>VÄSTMANLANDS LÄN</t>
        </is>
      </c>
      <c r="G135" t="inlineStr">
        <is>
          <t>SURAHAMMAR</t>
        </is>
      </c>
      <c r="H135" t="inlineStr">
        <is>
          <t>Allmännings- och besparingsskogar</t>
        </is>
      </c>
      <c r="I135" t="n">
        <v>8.699999999999999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46269</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10249-2026</t>
        </is>
      </c>
      <c r="B137" t="inlineStr">
        <is>
          <t>avverkningsanmälan</t>
        </is>
      </c>
      <c r="C137" t="inlineStr">
        <is>
          <t>Föryngringsavverkning</t>
        </is>
      </c>
      <c r="D137" s="1" t="n">
        <v>46076</v>
      </c>
      <c r="E137" s="1" t="n">
        <v>46269</v>
      </c>
      <c r="F137" t="inlineStr">
        <is>
          <t>VÄSTMANLANDS LÄN</t>
        </is>
      </c>
      <c r="G137" t="inlineStr">
        <is>
          <t>SURAHAMMAR</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10562-2026</t>
        </is>
      </c>
      <c r="B138" t="inlineStr">
        <is>
          <t>avverkningsanmälan</t>
        </is>
      </c>
      <c r="C138" t="inlineStr">
        <is>
          <t>Föryngringsavverkning</t>
        </is>
      </c>
      <c r="D138" s="1" t="n">
        <v>46077</v>
      </c>
      <c r="E138" s="1" t="n">
        <v>46269</v>
      </c>
      <c r="F138" t="inlineStr">
        <is>
          <t>VÄSTMANLANDS LÄN</t>
        </is>
      </c>
      <c r="G138" t="inlineStr">
        <is>
          <t>SURAHAMMAR</t>
        </is>
      </c>
      <c r="H138" t="inlineStr">
        <is>
          <t>Övriga Aktiebolag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12841-2026</t>
        </is>
      </c>
      <c r="B139" t="inlineStr">
        <is>
          <t>avverkningsanmälan</t>
        </is>
      </c>
      <c r="C139" t="inlineStr">
        <is>
          <t>Föryngringsavverkning</t>
        </is>
      </c>
      <c r="D139" s="1" t="n">
        <v>46091</v>
      </c>
      <c r="E139" s="1" t="n">
        <v>46269</v>
      </c>
      <c r="F139" t="inlineStr">
        <is>
          <t>VÄSTMANLANDS LÄN</t>
        </is>
      </c>
      <c r="G139" t="inlineStr">
        <is>
          <t>SURAHAMMAR</t>
        </is>
      </c>
      <c r="H139" t="inlineStr">
        <is>
          <t>Bergvik skog väst AB</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31061-2026</t>
        </is>
      </c>
      <c r="B140" t="inlineStr">
        <is>
          <t>avverkningsanmälan</t>
        </is>
      </c>
      <c r="C140" t="inlineStr">
        <is>
          <t>Föryngringsavverkning</t>
        </is>
      </c>
      <c r="D140" s="1" t="n">
        <v>46215</v>
      </c>
      <c r="E140" s="1" t="n">
        <v>46269</v>
      </c>
      <c r="F140" t="inlineStr">
        <is>
          <t>VÄSTMANLANDS LÄN</t>
        </is>
      </c>
      <c r="G140" t="inlineStr">
        <is>
          <t>SURAHAMMAR</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15637-2022</t>
        </is>
      </c>
      <c r="B141" t="inlineStr">
        <is>
          <t>avverkningsanmälan</t>
        </is>
      </c>
      <c r="C141" t="inlineStr">
        <is>
          <t>Föryngringsavverkning</t>
        </is>
      </c>
      <c r="D141" s="1" t="n">
        <v>44662</v>
      </c>
      <c r="E141" s="1" t="n">
        <v>46269</v>
      </c>
      <c r="F141" t="inlineStr">
        <is>
          <t>VÄSTMANLANDS LÄN</t>
        </is>
      </c>
      <c r="G141" t="inlineStr">
        <is>
          <t>SURAHAMMAR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19786-2023</t>
        </is>
      </c>
      <c r="B142" t="inlineStr">
        <is>
          <t>avverkningsanmälan</t>
        </is>
      </c>
      <c r="C142" t="inlineStr">
        <is>
          <t>Föryngringsavverkning</t>
        </is>
      </c>
      <c r="D142" s="1" t="n">
        <v>45050</v>
      </c>
      <c r="E142" s="1" t="n">
        <v>46269</v>
      </c>
      <c r="F142" t="inlineStr">
        <is>
          <t>VÄSTMANLANDS LÄN</t>
        </is>
      </c>
      <c r="G142" t="inlineStr">
        <is>
          <t>SURAHAMMAR</t>
        </is>
      </c>
      <c r="H142" t="inlineStr">
        <is>
          <t>Bergvik skog väst AB</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19246-2026</t>
        </is>
      </c>
      <c r="B143" t="inlineStr">
        <is>
          <t>avverkningsanmälan</t>
        </is>
      </c>
      <c r="C143" t="inlineStr">
        <is>
          <t>Avverkning för annat ändamål</t>
        </is>
      </c>
      <c r="D143" s="1" t="n">
        <v>46132</v>
      </c>
      <c r="E143" s="1" t="n">
        <v>46269</v>
      </c>
      <c r="F143" t="inlineStr">
        <is>
          <t>VÄSTMANLANDS LÄN</t>
        </is>
      </c>
      <c r="G143" t="inlineStr">
        <is>
          <t>SURAHAMMAR</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7787-2024</t>
        </is>
      </c>
      <c r="B144" t="inlineStr">
        <is>
          <t>avverkningsanmälan</t>
        </is>
      </c>
      <c r="C144" t="inlineStr">
        <is>
          <t>Föryngringsavverkning</t>
        </is>
      </c>
      <c r="D144" s="1" t="n">
        <v>45348</v>
      </c>
      <c r="E144" s="1" t="n">
        <v>46269</v>
      </c>
      <c r="F144" t="inlineStr">
        <is>
          <t>VÄSTMANLANDS LÄN</t>
        </is>
      </c>
      <c r="G144" t="inlineStr">
        <is>
          <t>SURAHAMMAR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3543-2022</t>
        </is>
      </c>
      <c r="B145" t="inlineStr">
        <is>
          <t>samrådsanmälan</t>
        </is>
      </c>
      <c r="C145" t="inlineStr">
        <is>
          <t>Skogsbilväg</t>
        </is>
      </c>
      <c r="D145" s="1" t="n">
        <v>44734</v>
      </c>
      <c r="E145" s="1" t="n">
        <v>46269</v>
      </c>
      <c r="F145" t="inlineStr">
        <is>
          <t>VÄSTMANLANDS LÄN</t>
        </is>
      </c>
      <c r="G145" t="inlineStr">
        <is>
          <t>SURAHAMMAR</t>
        </is>
      </c>
      <c r="H145" t="inlineStr">
        <is>
          <t>Bergvik skog väst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S 3542-2022</t>
        </is>
      </c>
      <c r="B146" t="inlineStr">
        <is>
          <t>samrådsanmälan</t>
        </is>
      </c>
      <c r="C146" t="inlineStr">
        <is>
          <t>Skogsbilväg</t>
        </is>
      </c>
      <c r="D146" s="1" t="n">
        <v>44734</v>
      </c>
      <c r="E146" s="1" t="n">
        <v>46269</v>
      </c>
      <c r="F146" t="inlineStr">
        <is>
          <t>VÄSTMANLANDS LÄN</t>
        </is>
      </c>
      <c r="G146" t="inlineStr">
        <is>
          <t>SURAHAMMAR</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c r="A147" t="inlineStr">
        <is>
          <t>S 2172-2026</t>
        </is>
      </c>
      <c r="B147" t="inlineStr">
        <is>
          <t>samrådsanmälan</t>
        </is>
      </c>
      <c r="C147" t="inlineStr">
        <is>
          <t>Annan skogsbruksåtgärd</t>
        </is>
      </c>
      <c r="D147" s="1" t="n">
        <v>46251</v>
      </c>
      <c r="E147" s="1" t="n">
        <v>46269</v>
      </c>
      <c r="F147" t="inlineStr">
        <is>
          <t>VÄSTMANLANDS LÄN</t>
        </is>
      </c>
      <c r="G147" t="inlineStr">
        <is>
          <t>SURAHAMMAR</t>
        </is>
      </c>
      <c r="I147" t="n">
        <v>0.4</v>
      </c>
      <c r="J147" t="n">
        <v>0</v>
      </c>
      <c r="K147" t="n">
        <v>0</v>
      </c>
      <c r="L147" t="n">
        <v>0</v>
      </c>
      <c r="M147" t="n">
        <v>0</v>
      </c>
      <c r="N147" t="n">
        <v>0</v>
      </c>
      <c r="O147" t="n">
        <v>0</v>
      </c>
      <c r="P147" t="n">
        <v>0</v>
      </c>
      <c r="Q147" t="n">
        <v>0</v>
      </c>
      <c r="R147" t="n">
        <v>0</v>
      </c>
      <c r="S147" t="n">
        <v>0</v>
      </c>
      <c r="T147" t="n">
        <v>0</v>
      </c>
      <c r="U147" t="n">
        <v>0</v>
      </c>
      <c r="V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2026-09-04T02:03:54Z</dcterms:created>
  <dcterms:modified xmlns:dcterms="http://purl.org/dc/terms/" xmlns:xsi="http://www.w3.org/2001/XMLSchema-instance" xsi:type="dcterms:W3CDTF">2026-09-04T02:03:54Z</dcterms:modified>
</cp:coreProperties>
</file>