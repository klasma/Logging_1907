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46133</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46133</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46133</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46133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46133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46133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46133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46133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46133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46133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46133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46133</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46133</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46133</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46133</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46133</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46133</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42853-2022</t>
        </is>
      </c>
      <c r="B26" s="1" t="n">
        <v>44832</v>
      </c>
      <c r="C26" s="1" t="n">
        <v>46133</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10236-2026</t>
        </is>
      </c>
      <c r="B27" s="1" t="n">
        <v>46076.54277777778</v>
      </c>
      <c r="C27" s="1" t="n">
        <v>46133</v>
      </c>
      <c r="D27" t="inlineStr">
        <is>
          <t>VÄSTMANLANDS LÄN</t>
        </is>
      </c>
      <c r="E27" t="inlineStr">
        <is>
          <t>SURAHAMMAR</t>
        </is>
      </c>
      <c r="F27" t="inlineStr">
        <is>
          <t>Allmännings- och besparingsskogar</t>
        </is>
      </c>
      <c r="G27" t="n">
        <v>2.8</v>
      </c>
      <c r="H27" t="n">
        <v>2</v>
      </c>
      <c r="I27" t="n">
        <v>1</v>
      </c>
      <c r="J27" t="n">
        <v>0</v>
      </c>
      <c r="K27" t="n">
        <v>1</v>
      </c>
      <c r="L27" t="n">
        <v>0</v>
      </c>
      <c r="M27" t="n">
        <v>0</v>
      </c>
      <c r="N27" t="n">
        <v>0</v>
      </c>
      <c r="O27" t="n">
        <v>1</v>
      </c>
      <c r="P27" t="n">
        <v>1</v>
      </c>
      <c r="Q27" t="n">
        <v>4</v>
      </c>
      <c r="R27" s="2" t="inlineStr">
        <is>
          <t>Vågticka
Brandticka
Lopplummer (aggregat)
Revlummer</t>
        </is>
      </c>
      <c r="S27">
        <f>HYPERLINK("https://klasma.github.io/Logging_1907/artfynd/A 10236-2026 artfynd.xlsx", "A 10236-2026")</f>
        <v/>
      </c>
      <c r="T27">
        <f>HYPERLINK("https://klasma.github.io/Logging_1907/kartor/A 10236-2026 karta.png", "A 10236-2026")</f>
        <v/>
      </c>
      <c r="V27">
        <f>HYPERLINK("https://klasma.github.io/Logging_1907/klagomål/A 10236-2026 FSC-klagomål.docx", "A 10236-2026")</f>
        <v/>
      </c>
      <c r="W27">
        <f>HYPERLINK("https://klasma.github.io/Logging_1907/klagomålsmail/A 10236-2026 FSC-klagomål mail.docx", "A 10236-2026")</f>
        <v/>
      </c>
      <c r="X27">
        <f>HYPERLINK("https://klasma.github.io/Logging_1907/tillsyn/A 10236-2026 tillsynsbegäran.docx", "A 10236-2026")</f>
        <v/>
      </c>
      <c r="Y27">
        <f>HYPERLINK("https://klasma.github.io/Logging_1907/tillsynsmail/A 10236-2026 tillsynsbegäran mail.docx", "A 10236-2026")</f>
        <v/>
      </c>
    </row>
    <row r="28" ht="15" customHeight="1">
      <c r="A28" t="inlineStr">
        <is>
          <t>A 21716-2025</t>
        </is>
      </c>
      <c r="B28" s="1" t="n">
        <v>45783.54804398148</v>
      </c>
      <c r="C28" s="1" t="n">
        <v>46133</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46133</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48128-2023</t>
        </is>
      </c>
      <c r="B30" s="1" t="n">
        <v>45205</v>
      </c>
      <c r="C30" s="1" t="n">
        <v>46133</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46133</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46133</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39694-2025</t>
        </is>
      </c>
      <c r="B33" s="1" t="n">
        <v>45890</v>
      </c>
      <c r="C33" s="1" t="n">
        <v>46133</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29707-2025</t>
        </is>
      </c>
      <c r="B34" s="1" t="n">
        <v>45825.56100694444</v>
      </c>
      <c r="C34" s="1" t="n">
        <v>46133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49718-2023</t>
        </is>
      </c>
      <c r="B35" s="1" t="n">
        <v>45212</v>
      </c>
      <c r="C35" s="1" t="n">
        <v>46133</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8552-2022</t>
        </is>
      </c>
      <c r="B36" s="1" t="n">
        <v>44613</v>
      </c>
      <c r="C36" s="1" t="n">
        <v>46133</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20391-2024</t>
        </is>
      </c>
      <c r="B37" s="1" t="n">
        <v>45435</v>
      </c>
      <c r="C37" s="1" t="n">
        <v>46133</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46133</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46133</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46133</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46133</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63146-2025</t>
        </is>
      </c>
      <c r="B42" s="1" t="n">
        <v>46009</v>
      </c>
      <c r="C42" s="1" t="n">
        <v>46133</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40403-2025</t>
        </is>
      </c>
      <c r="B43" s="1" t="n">
        <v>45895</v>
      </c>
      <c r="C43" s="1" t="n">
        <v>46133</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41576-2022</t>
        </is>
      </c>
      <c r="B44" s="1" t="n">
        <v>44826</v>
      </c>
      <c r="C44" s="1" t="n">
        <v>46133</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62097-2024</t>
        </is>
      </c>
      <c r="B45" s="1" t="n">
        <v>45646</v>
      </c>
      <c r="C45" s="1" t="n">
        <v>46133</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37800-2021</t>
        </is>
      </c>
      <c r="B46" s="1" t="n">
        <v>44402</v>
      </c>
      <c r="C46" s="1" t="n">
        <v>46133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46133</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46133</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46133</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46133</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46133</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46133</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46133</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63145-2025</t>
        </is>
      </c>
      <c r="B54" s="1" t="n">
        <v>46009</v>
      </c>
      <c r="C54" s="1" t="n">
        <v>46133</v>
      </c>
      <c r="D54" t="inlineStr">
        <is>
          <t>VÄSTMANLANDS LÄN</t>
        </is>
      </c>
      <c r="E54" t="inlineStr">
        <is>
          <t>SURAHAMMAR</t>
        </is>
      </c>
      <c r="F54" t="inlineStr">
        <is>
          <t>Bergvik skog väst AB</t>
        </is>
      </c>
      <c r="G54" t="n">
        <v>40.5</v>
      </c>
      <c r="H54" t="n">
        <v>0</v>
      </c>
      <c r="I54" t="n">
        <v>1</v>
      </c>
      <c r="J54" t="n">
        <v>0</v>
      </c>
      <c r="K54" t="n">
        <v>0</v>
      </c>
      <c r="L54" t="n">
        <v>0</v>
      </c>
      <c r="M54" t="n">
        <v>0</v>
      </c>
      <c r="N54" t="n">
        <v>0</v>
      </c>
      <c r="O54" t="n">
        <v>0</v>
      </c>
      <c r="P54" t="n">
        <v>0</v>
      </c>
      <c r="Q54" t="n">
        <v>1</v>
      </c>
      <c r="R54" s="2" t="inlineStr">
        <is>
          <t>Svart trolldruva</t>
        </is>
      </c>
      <c r="S54">
        <f>HYPERLINK("https://klasma.github.io/Logging_1907/artfynd/A 63145-2025 artfynd.xlsx", "A 63145-2025")</f>
        <v/>
      </c>
      <c r="T54">
        <f>HYPERLINK("https://klasma.github.io/Logging_1907/kartor/A 63145-2025 karta.png", "A 63145-2025")</f>
        <v/>
      </c>
      <c r="V54">
        <f>HYPERLINK("https://klasma.github.io/Logging_1907/klagomål/A 63145-2025 FSC-klagomål.docx", "A 63145-2025")</f>
        <v/>
      </c>
      <c r="W54">
        <f>HYPERLINK("https://klasma.github.io/Logging_1907/klagomålsmail/A 63145-2025 FSC-klagomål mail.docx", "A 63145-2025")</f>
        <v/>
      </c>
      <c r="X54">
        <f>HYPERLINK("https://klasma.github.io/Logging_1907/tillsyn/A 63145-2025 tillsynsbegäran.docx", "A 63145-2025")</f>
        <v/>
      </c>
      <c r="Y54">
        <f>HYPERLINK("https://klasma.github.io/Logging_1907/tillsynsmail/A 63145-2025 tillsynsbegäran mail.docx", "A 63145-2025")</f>
        <v/>
      </c>
    </row>
    <row r="55" ht="15" customHeight="1">
      <c r="A55" t="inlineStr">
        <is>
          <t>A 34582-2025</t>
        </is>
      </c>
      <c r="B55" s="1" t="n">
        <v>45846</v>
      </c>
      <c r="C55" s="1" t="n">
        <v>46133</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13788-2025</t>
        </is>
      </c>
      <c r="B56" s="1" t="n">
        <v>45737.45327546296</v>
      </c>
      <c r="C56" s="1" t="n">
        <v>46133</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56362-2023</t>
        </is>
      </c>
      <c r="B57" s="1" t="n">
        <v>45236</v>
      </c>
      <c r="C57" s="1" t="n">
        <v>46133</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46133</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42089-2025</t>
        </is>
      </c>
      <c r="B59" s="1" t="n">
        <v>45902</v>
      </c>
      <c r="C59" s="1" t="n">
        <v>46133</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25583-2024</t>
        </is>
      </c>
      <c r="B60" s="1" t="n">
        <v>45463</v>
      </c>
      <c r="C60" s="1" t="n">
        <v>46133</v>
      </c>
      <c r="D60" t="inlineStr">
        <is>
          <t>VÄSTMANLANDS LÄN</t>
        </is>
      </c>
      <c r="E60" t="inlineStr">
        <is>
          <t>SURAHAMMAR</t>
        </is>
      </c>
      <c r="F60" t="inlineStr">
        <is>
          <t>Bergvik skog väst AB</t>
        </is>
      </c>
      <c r="G60" t="n">
        <v>7.8</v>
      </c>
      <c r="H60" t="n">
        <v>1</v>
      </c>
      <c r="I60" t="n">
        <v>0</v>
      </c>
      <c r="J60" t="n">
        <v>0</v>
      </c>
      <c r="K60" t="n">
        <v>0</v>
      </c>
      <c r="L60" t="n">
        <v>0</v>
      </c>
      <c r="M60" t="n">
        <v>0</v>
      </c>
      <c r="N60" t="n">
        <v>0</v>
      </c>
      <c r="O60" t="n">
        <v>0</v>
      </c>
      <c r="P60" t="n">
        <v>0</v>
      </c>
      <c r="Q60" t="n">
        <v>1</v>
      </c>
      <c r="R60" s="2" t="inlineStr">
        <is>
          <t>Blåsippa</t>
        </is>
      </c>
      <c r="S60">
        <f>HYPERLINK("https://klasma.github.io/Logging_1907/artfynd/A 25583-2024 artfynd.xlsx", "A 25583-2024")</f>
        <v/>
      </c>
      <c r="T60">
        <f>HYPERLINK("https://klasma.github.io/Logging_1907/kartor/A 25583-2024 karta.png", "A 25583-2024")</f>
        <v/>
      </c>
      <c r="V60">
        <f>HYPERLINK("https://klasma.github.io/Logging_1907/klagomål/A 25583-2024 FSC-klagomål.docx", "A 25583-2024")</f>
        <v/>
      </c>
      <c r="W60">
        <f>HYPERLINK("https://klasma.github.io/Logging_1907/klagomålsmail/A 25583-2024 FSC-klagomål mail.docx", "A 25583-2024")</f>
        <v/>
      </c>
      <c r="X60">
        <f>HYPERLINK("https://klasma.github.io/Logging_1907/tillsyn/A 25583-2024 tillsynsbegäran.docx", "A 25583-2024")</f>
        <v/>
      </c>
      <c r="Y60">
        <f>HYPERLINK("https://klasma.github.io/Logging_1907/tillsynsmail/A 25583-2024 tillsynsbegäran mail.docx", "A 25583-2024")</f>
        <v/>
      </c>
    </row>
    <row r="61" ht="15" customHeight="1">
      <c r="A61" t="inlineStr">
        <is>
          <t>A 39099-2022</t>
        </is>
      </c>
      <c r="B61" s="1" t="n">
        <v>44817</v>
      </c>
      <c r="C61" s="1" t="n">
        <v>46133</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46133</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10819-2024</t>
        </is>
      </c>
      <c r="B63" s="1" t="n">
        <v>45369.66049768519</v>
      </c>
      <c r="C63" s="1" t="n">
        <v>46133</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55042-2025</t>
        </is>
      </c>
      <c r="B64" s="1" t="n">
        <v>45967.65858796296</v>
      </c>
      <c r="C64" s="1" t="n">
        <v>46133</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69777-2021</t>
        </is>
      </c>
      <c r="B65" s="1" t="n">
        <v>44532</v>
      </c>
      <c r="C65" s="1" t="n">
        <v>46133</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55871-2025</t>
        </is>
      </c>
      <c r="B66" s="1" t="n">
        <v>45973.35452546296</v>
      </c>
      <c r="C66" s="1" t="n">
        <v>46133</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46133</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17632-2022</t>
        </is>
      </c>
      <c r="B68" s="1" t="n">
        <v>44680</v>
      </c>
      <c r="C68" s="1" t="n">
        <v>46133</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44356-2024</t>
        </is>
      </c>
      <c r="B69" s="1" t="n">
        <v>45573</v>
      </c>
      <c r="C69" s="1" t="n">
        <v>46133</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46133</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46133</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46133</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46133</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46133</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46133</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46133</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46133</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46133</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46133</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46133</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46133</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46133</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46133</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46133</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46133</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46133</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46133</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46133</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46133</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46133</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46133</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46133</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46133</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46133</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46133</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46133</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46133</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46133</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15739-2023</t>
        </is>
      </c>
      <c r="B100" s="1" t="n">
        <v>45021</v>
      </c>
      <c r="C100" s="1" t="n">
        <v>46133</v>
      </c>
      <c r="D100" t="inlineStr">
        <is>
          <t>VÄSTMANLANDS LÄN</t>
        </is>
      </c>
      <c r="E100" t="inlineStr">
        <is>
          <t>SURAHAMMAR</t>
        </is>
      </c>
      <c r="G100" t="n">
        <v>1.3</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46133</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46133</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63138-2025</t>
        </is>
      </c>
      <c r="B103" s="1" t="n">
        <v>46009</v>
      </c>
      <c r="C103" s="1" t="n">
        <v>46133</v>
      </c>
      <c r="D103" t="inlineStr">
        <is>
          <t>VÄSTMANLANDS LÄN</t>
        </is>
      </c>
      <c r="E103" t="inlineStr">
        <is>
          <t>SURAHAMMAR</t>
        </is>
      </c>
      <c r="F103" t="inlineStr">
        <is>
          <t>Bergvik skog väst AB</t>
        </is>
      </c>
      <c r="G103" t="n">
        <v>2.5</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46133</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37287-2023</t>
        </is>
      </c>
      <c r="B105" s="1" t="n">
        <v>45156</v>
      </c>
      <c r="C105" s="1" t="n">
        <v>46133</v>
      </c>
      <c r="D105" t="inlineStr">
        <is>
          <t>VÄSTMANLANDS LÄN</t>
        </is>
      </c>
      <c r="E105" t="inlineStr">
        <is>
          <t>SURAHAMMAR</t>
        </is>
      </c>
      <c r="G105" t="n">
        <v>0.6</v>
      </c>
      <c r="H105" t="n">
        <v>0</v>
      </c>
      <c r="I105" t="n">
        <v>0</v>
      </c>
      <c r="J105" t="n">
        <v>0</v>
      </c>
      <c r="K105" t="n">
        <v>0</v>
      </c>
      <c r="L105" t="n">
        <v>0</v>
      </c>
      <c r="M105" t="n">
        <v>0</v>
      </c>
      <c r="N105" t="n">
        <v>0</v>
      </c>
      <c r="O105" t="n">
        <v>0</v>
      </c>
      <c r="P105" t="n">
        <v>0</v>
      </c>
      <c r="Q105" t="n">
        <v>0</v>
      </c>
      <c r="R105" s="2" t="inlineStr"/>
    </row>
    <row r="106" ht="15" customHeight="1">
      <c r="A106" t="inlineStr">
        <is>
          <t>A 31107-2025</t>
        </is>
      </c>
      <c r="B106" s="1" t="n">
        <v>45831</v>
      </c>
      <c r="C106" s="1" t="n">
        <v>46133</v>
      </c>
      <c r="D106" t="inlineStr">
        <is>
          <t>VÄSTMANLANDS LÄN</t>
        </is>
      </c>
      <c r="E106" t="inlineStr">
        <is>
          <t>SURAHAMMAR</t>
        </is>
      </c>
      <c r="F106" t="inlineStr">
        <is>
          <t>Kommuner</t>
        </is>
      </c>
      <c r="G106" t="n">
        <v>1.7</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46133</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46133</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46133</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46133</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46133</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32916-2025</t>
        </is>
      </c>
      <c r="B112" s="1" t="n">
        <v>45839</v>
      </c>
      <c r="C112" s="1" t="n">
        <v>46133</v>
      </c>
      <c r="D112" t="inlineStr">
        <is>
          <t>VÄSTMANLANDS LÄN</t>
        </is>
      </c>
      <c r="E112" t="inlineStr">
        <is>
          <t>SURAHAMMAR</t>
        </is>
      </c>
      <c r="F112" t="inlineStr">
        <is>
          <t>Kommuner</t>
        </is>
      </c>
      <c r="G112" t="n">
        <v>4.9</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46133</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24158-2023</t>
        </is>
      </c>
      <c r="B114" s="1" t="n">
        <v>45079</v>
      </c>
      <c r="C114" s="1" t="n">
        <v>46133</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42714-2022</t>
        </is>
      </c>
      <c r="B115" s="1" t="n">
        <v>44832</v>
      </c>
      <c r="C115" s="1" t="n">
        <v>46133</v>
      </c>
      <c r="D115" t="inlineStr">
        <is>
          <t>VÄSTMANLANDS LÄN</t>
        </is>
      </c>
      <c r="E115" t="inlineStr">
        <is>
          <t>SURAHAMMAR</t>
        </is>
      </c>
      <c r="G115" t="n">
        <v>1.1</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46133</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35682-2022</t>
        </is>
      </c>
      <c r="B117" s="1" t="n">
        <v>44799.60422453703</v>
      </c>
      <c r="C117" s="1" t="n">
        <v>46133</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11728-2023</t>
        </is>
      </c>
      <c r="B118" s="1" t="n">
        <v>44993</v>
      </c>
      <c r="C118" s="1" t="n">
        <v>46133</v>
      </c>
      <c r="D118" t="inlineStr">
        <is>
          <t>VÄSTMANLANDS LÄN</t>
        </is>
      </c>
      <c r="E118" t="inlineStr">
        <is>
          <t>SURAHAMMAR</t>
        </is>
      </c>
      <c r="F118" t="inlineStr">
        <is>
          <t>Bergvik skog väst AB</t>
        </is>
      </c>
      <c r="G118" t="n">
        <v>0.4</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46133</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5567-2022</t>
        </is>
      </c>
      <c r="B120" s="1" t="n">
        <v>44595</v>
      </c>
      <c r="C120" s="1" t="n">
        <v>46133</v>
      </c>
      <c r="D120" t="inlineStr">
        <is>
          <t>VÄSTMANLANDS LÄN</t>
        </is>
      </c>
      <c r="E120" t="inlineStr">
        <is>
          <t>SURAHAMMAR</t>
        </is>
      </c>
      <c r="G120" t="n">
        <v>1.3</v>
      </c>
      <c r="H120" t="n">
        <v>0</v>
      </c>
      <c r="I120" t="n">
        <v>0</v>
      </c>
      <c r="J120" t="n">
        <v>0</v>
      </c>
      <c r="K120" t="n">
        <v>0</v>
      </c>
      <c r="L120" t="n">
        <v>0</v>
      </c>
      <c r="M120" t="n">
        <v>0</v>
      </c>
      <c r="N120" t="n">
        <v>0</v>
      </c>
      <c r="O120" t="n">
        <v>0</v>
      </c>
      <c r="P120" t="n">
        <v>0</v>
      </c>
      <c r="Q120" t="n">
        <v>0</v>
      </c>
      <c r="R120" s="2" t="inlineStr"/>
    </row>
    <row r="121" ht="15" customHeight="1">
      <c r="A121" t="inlineStr">
        <is>
          <t>A 42832-2022</t>
        </is>
      </c>
      <c r="B121" s="1" t="n">
        <v>44832</v>
      </c>
      <c r="C121" s="1" t="n">
        <v>46133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46133</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46133</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42841-2022</t>
        </is>
      </c>
      <c r="B124" s="1" t="n">
        <v>44832</v>
      </c>
      <c r="C124" s="1" t="n">
        <v>46133</v>
      </c>
      <c r="D124" t="inlineStr">
        <is>
          <t>VÄSTMANLANDS LÄN</t>
        </is>
      </c>
      <c r="E124" t="inlineStr">
        <is>
          <t>SURAHAMMAR</t>
        </is>
      </c>
      <c r="G124" t="n">
        <v>1.8</v>
      </c>
      <c r="H124" t="n">
        <v>0</v>
      </c>
      <c r="I124" t="n">
        <v>0</v>
      </c>
      <c r="J124" t="n">
        <v>0</v>
      </c>
      <c r="K124" t="n">
        <v>0</v>
      </c>
      <c r="L124" t="n">
        <v>0</v>
      </c>
      <c r="M124" t="n">
        <v>0</v>
      </c>
      <c r="N124" t="n">
        <v>0</v>
      </c>
      <c r="O124" t="n">
        <v>0</v>
      </c>
      <c r="P124" t="n">
        <v>0</v>
      </c>
      <c r="Q124" t="n">
        <v>0</v>
      </c>
      <c r="R124" s="2" t="inlineStr"/>
    </row>
    <row r="125" ht="15" customHeight="1">
      <c r="A125" t="inlineStr">
        <is>
          <t>A 42829-2022</t>
        </is>
      </c>
      <c r="B125" s="1" t="n">
        <v>44832</v>
      </c>
      <c r="C125" s="1" t="n">
        <v>46133</v>
      </c>
      <c r="D125" t="inlineStr">
        <is>
          <t>VÄSTMANLANDS LÄN</t>
        </is>
      </c>
      <c r="E125" t="inlineStr">
        <is>
          <t>SURAHAMMAR</t>
        </is>
      </c>
      <c r="G125" t="n">
        <v>1.6</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46133</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46133</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55873-2025</t>
        </is>
      </c>
      <c r="B128" s="1" t="n">
        <v>45973.35608796297</v>
      </c>
      <c r="C128" s="1" t="n">
        <v>46133</v>
      </c>
      <c r="D128" t="inlineStr">
        <is>
          <t>VÄSTMANLANDS LÄN</t>
        </is>
      </c>
      <c r="E128" t="inlineStr">
        <is>
          <t>SURAHAMMAR</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2867-2024</t>
        </is>
      </c>
      <c r="B129" s="1" t="n">
        <v>45315</v>
      </c>
      <c r="C129" s="1" t="n">
        <v>46133</v>
      </c>
      <c r="D129" t="inlineStr">
        <is>
          <t>VÄSTMANLANDS LÄN</t>
        </is>
      </c>
      <c r="E129" t="inlineStr">
        <is>
          <t>SURAHAMMAR</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4724-2026</t>
        </is>
      </c>
      <c r="B130" s="1" t="n">
        <v>46048</v>
      </c>
      <c r="C130" s="1" t="n">
        <v>46133</v>
      </c>
      <c r="D130" t="inlineStr">
        <is>
          <t>VÄSTMANLANDS LÄN</t>
        </is>
      </c>
      <c r="E130" t="inlineStr">
        <is>
          <t>SURAHAMMAR</t>
        </is>
      </c>
      <c r="G130" t="n">
        <v>1.7</v>
      </c>
      <c r="H130" t="n">
        <v>0</v>
      </c>
      <c r="I130" t="n">
        <v>0</v>
      </c>
      <c r="J130" t="n">
        <v>0</v>
      </c>
      <c r="K130" t="n">
        <v>0</v>
      </c>
      <c r="L130" t="n">
        <v>0</v>
      </c>
      <c r="M130" t="n">
        <v>0</v>
      </c>
      <c r="N130" t="n">
        <v>0</v>
      </c>
      <c r="O130" t="n">
        <v>0</v>
      </c>
      <c r="P130" t="n">
        <v>0</v>
      </c>
      <c r="Q130" t="n">
        <v>0</v>
      </c>
      <c r="R130" s="2" t="inlineStr"/>
    </row>
    <row r="131" ht="15" customHeight="1">
      <c r="A131" t="inlineStr">
        <is>
          <t>A 56543-2025</t>
        </is>
      </c>
      <c r="B131" s="1" t="n">
        <v>45975</v>
      </c>
      <c r="C131" s="1" t="n">
        <v>46133</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4734-2026</t>
        </is>
      </c>
      <c r="B132" s="1" t="n">
        <v>46048</v>
      </c>
      <c r="C132" s="1" t="n">
        <v>46133</v>
      </c>
      <c r="D132" t="inlineStr">
        <is>
          <t>VÄSTMANLANDS LÄN</t>
        </is>
      </c>
      <c r="E132" t="inlineStr">
        <is>
          <t>SURAHAMMAR</t>
        </is>
      </c>
      <c r="G132" t="n">
        <v>0.7</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46133</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5696-2026</t>
        </is>
      </c>
      <c r="B134" s="1" t="n">
        <v>46051.4975</v>
      </c>
      <c r="C134" s="1" t="n">
        <v>46133</v>
      </c>
      <c r="D134" t="inlineStr">
        <is>
          <t>VÄSTMANLANDS LÄN</t>
        </is>
      </c>
      <c r="E134" t="inlineStr">
        <is>
          <t>SURAHAMMAR</t>
        </is>
      </c>
      <c r="F134" t="inlineStr">
        <is>
          <t>Sveaskog</t>
        </is>
      </c>
      <c r="G134" t="n">
        <v>10.4</v>
      </c>
      <c r="H134" t="n">
        <v>0</v>
      </c>
      <c r="I134" t="n">
        <v>0</v>
      </c>
      <c r="J134" t="n">
        <v>0</v>
      </c>
      <c r="K134" t="n">
        <v>0</v>
      </c>
      <c r="L134" t="n">
        <v>0</v>
      </c>
      <c r="M134" t="n">
        <v>0</v>
      </c>
      <c r="N134" t="n">
        <v>0</v>
      </c>
      <c r="O134" t="n">
        <v>0</v>
      </c>
      <c r="P134" t="n">
        <v>0</v>
      </c>
      <c r="Q134" t="n">
        <v>0</v>
      </c>
      <c r="R134" s="2" t="inlineStr"/>
    </row>
    <row r="135" ht="15" customHeight="1">
      <c r="A135" t="inlineStr">
        <is>
          <t>A 5697-2026</t>
        </is>
      </c>
      <c r="B135" s="1" t="n">
        <v>46051.50020833333</v>
      </c>
      <c r="C135" s="1" t="n">
        <v>46133</v>
      </c>
      <c r="D135" t="inlineStr">
        <is>
          <t>VÄSTMANLANDS LÄN</t>
        </is>
      </c>
      <c r="E135" t="inlineStr">
        <is>
          <t>SURAHAMMAR</t>
        </is>
      </c>
      <c r="F135" t="inlineStr">
        <is>
          <t>Sveaskog</t>
        </is>
      </c>
      <c r="G135" t="n">
        <v>3</v>
      </c>
      <c r="H135" t="n">
        <v>0</v>
      </c>
      <c r="I135" t="n">
        <v>0</v>
      </c>
      <c r="J135" t="n">
        <v>0</v>
      </c>
      <c r="K135" t="n">
        <v>0</v>
      </c>
      <c r="L135" t="n">
        <v>0</v>
      </c>
      <c r="M135" t="n">
        <v>0</v>
      </c>
      <c r="N135" t="n">
        <v>0</v>
      </c>
      <c r="O135" t="n">
        <v>0</v>
      </c>
      <c r="P135" t="n">
        <v>0</v>
      </c>
      <c r="Q135" t="n">
        <v>0</v>
      </c>
      <c r="R135" s="2" t="inlineStr"/>
    </row>
    <row r="136" ht="15" customHeight="1">
      <c r="A136" t="inlineStr">
        <is>
          <t>A 12841-2026</t>
        </is>
      </c>
      <c r="B136" s="1" t="n">
        <v>46091</v>
      </c>
      <c r="C136" s="1" t="n">
        <v>46133</v>
      </c>
      <c r="D136" t="inlineStr">
        <is>
          <t>VÄSTMANLANDS LÄN</t>
        </is>
      </c>
      <c r="E136" t="inlineStr">
        <is>
          <t>SURAHAMMAR</t>
        </is>
      </c>
      <c r="F136" t="inlineStr">
        <is>
          <t>Bergvik skog väst AB</t>
        </is>
      </c>
      <c r="G136" t="n">
        <v>4.3</v>
      </c>
      <c r="H136" t="n">
        <v>0</v>
      </c>
      <c r="I136" t="n">
        <v>0</v>
      </c>
      <c r="J136" t="n">
        <v>0</v>
      </c>
      <c r="K136" t="n">
        <v>0</v>
      </c>
      <c r="L136" t="n">
        <v>0</v>
      </c>
      <c r="M136" t="n">
        <v>0</v>
      </c>
      <c r="N136" t="n">
        <v>0</v>
      </c>
      <c r="O136" t="n">
        <v>0</v>
      </c>
      <c r="P136" t="n">
        <v>0</v>
      </c>
      <c r="Q136" t="n">
        <v>0</v>
      </c>
      <c r="R136" s="2" t="inlineStr"/>
    </row>
    <row r="137" ht="15" customHeight="1">
      <c r="A137" t="inlineStr">
        <is>
          <t>A 5698-2026</t>
        </is>
      </c>
      <c r="B137" s="1" t="n">
        <v>46051.50196759259</v>
      </c>
      <c r="C137" s="1" t="n">
        <v>46133</v>
      </c>
      <c r="D137" t="inlineStr">
        <is>
          <t>VÄSTMANLANDS LÄN</t>
        </is>
      </c>
      <c r="E137" t="inlineStr">
        <is>
          <t>SURAHAMMAR</t>
        </is>
      </c>
      <c r="F137" t="inlineStr">
        <is>
          <t>Sveaskog</t>
        </is>
      </c>
      <c r="G137" t="n">
        <v>1.9</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46133</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46133</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59399-2025</t>
        </is>
      </c>
      <c r="B140" s="1" t="n">
        <v>45989</v>
      </c>
      <c r="C140" s="1" t="n">
        <v>46133</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56541-2025</t>
        </is>
      </c>
      <c r="B141" s="1" t="n">
        <v>45975</v>
      </c>
      <c r="C141" s="1" t="n">
        <v>46133</v>
      </c>
      <c r="D141" t="inlineStr">
        <is>
          <t>VÄSTMANLANDS LÄN</t>
        </is>
      </c>
      <c r="E141" t="inlineStr">
        <is>
          <t>SURAHAMMAR</t>
        </is>
      </c>
      <c r="F141" t="inlineStr">
        <is>
          <t>Sveaskog</t>
        </is>
      </c>
      <c r="G141" t="n">
        <v>7.6</v>
      </c>
      <c r="H141" t="n">
        <v>0</v>
      </c>
      <c r="I141" t="n">
        <v>0</v>
      </c>
      <c r="J141" t="n">
        <v>0</v>
      </c>
      <c r="K141" t="n">
        <v>0</v>
      </c>
      <c r="L141" t="n">
        <v>0</v>
      </c>
      <c r="M141" t="n">
        <v>0</v>
      </c>
      <c r="N141" t="n">
        <v>0</v>
      </c>
      <c r="O141" t="n">
        <v>0</v>
      </c>
      <c r="P141" t="n">
        <v>0</v>
      </c>
      <c r="Q141" t="n">
        <v>0</v>
      </c>
      <c r="R141" s="2" t="inlineStr"/>
    </row>
    <row r="142" ht="15" customHeight="1">
      <c r="A142" t="inlineStr">
        <is>
          <t>A 34955-2022</t>
        </is>
      </c>
      <c r="B142" s="1" t="n">
        <v>44796</v>
      </c>
      <c r="C142" s="1" t="n">
        <v>46133</v>
      </c>
      <c r="D142" t="inlineStr">
        <is>
          <t>VÄSTMANLANDS LÄN</t>
        </is>
      </c>
      <c r="E142" t="inlineStr">
        <is>
          <t>SURAHAMMAR</t>
        </is>
      </c>
      <c r="F142" t="inlineStr">
        <is>
          <t>Sveaskog</t>
        </is>
      </c>
      <c r="G142" t="n">
        <v>4.6</v>
      </c>
      <c r="H142" t="n">
        <v>0</v>
      </c>
      <c r="I142" t="n">
        <v>0</v>
      </c>
      <c r="J142" t="n">
        <v>0</v>
      </c>
      <c r="K142" t="n">
        <v>0</v>
      </c>
      <c r="L142" t="n">
        <v>0</v>
      </c>
      <c r="M142" t="n">
        <v>0</v>
      </c>
      <c r="N142" t="n">
        <v>0</v>
      </c>
      <c r="O142" t="n">
        <v>0</v>
      </c>
      <c r="P142" t="n">
        <v>0</v>
      </c>
      <c r="Q142" t="n">
        <v>0</v>
      </c>
      <c r="R142" s="2" t="inlineStr"/>
    </row>
    <row r="143" ht="15" customHeight="1">
      <c r="A143" t="inlineStr">
        <is>
          <t>A 20904-2023</t>
        </is>
      </c>
      <c r="B143" s="1" t="n">
        <v>45060</v>
      </c>
      <c r="C143" s="1" t="n">
        <v>46133</v>
      </c>
      <c r="D143" t="inlineStr">
        <is>
          <t>VÄSTMANLANDS LÄN</t>
        </is>
      </c>
      <c r="E143" t="inlineStr">
        <is>
          <t>SURAHAMMAR</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46133</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46133</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10512-2026</t>
        </is>
      </c>
      <c r="B146" s="1" t="n">
        <v>46077.56861111111</v>
      </c>
      <c r="C146" s="1" t="n">
        <v>46133</v>
      </c>
      <c r="D146" t="inlineStr">
        <is>
          <t>VÄSTMANLANDS LÄN</t>
        </is>
      </c>
      <c r="E146" t="inlineStr">
        <is>
          <t>SURAHAMMAR</t>
        </is>
      </c>
      <c r="F146" t="inlineStr">
        <is>
          <t>Övriga Aktiebolag</t>
        </is>
      </c>
      <c r="G146" t="n">
        <v>4.3</v>
      </c>
      <c r="H146" t="n">
        <v>0</v>
      </c>
      <c r="I146" t="n">
        <v>0</v>
      </c>
      <c r="J146" t="n">
        <v>0</v>
      </c>
      <c r="K146" t="n">
        <v>0</v>
      </c>
      <c r="L146" t="n">
        <v>0</v>
      </c>
      <c r="M146" t="n">
        <v>0</v>
      </c>
      <c r="N146" t="n">
        <v>0</v>
      </c>
      <c r="O146" t="n">
        <v>0</v>
      </c>
      <c r="P146" t="n">
        <v>0</v>
      </c>
      <c r="Q146" t="n">
        <v>0</v>
      </c>
      <c r="R146" s="2" t="inlineStr"/>
    </row>
    <row r="147" ht="15" customHeight="1">
      <c r="A147" t="inlineStr">
        <is>
          <t>A 10249-2026</t>
        </is>
      </c>
      <c r="B147" s="1" t="n">
        <v>46076.55456018518</v>
      </c>
      <c r="C147" s="1" t="n">
        <v>46133</v>
      </c>
      <c r="D147" t="inlineStr">
        <is>
          <t>VÄSTMANLANDS LÄN</t>
        </is>
      </c>
      <c r="E147" t="inlineStr">
        <is>
          <t>SURAHAMMAR</t>
        </is>
      </c>
      <c r="F147" t="inlineStr">
        <is>
          <t>Allmännings- och besparingsskogar</t>
        </is>
      </c>
      <c r="G147" t="n">
        <v>4.8</v>
      </c>
      <c r="H147" t="n">
        <v>0</v>
      </c>
      <c r="I147" t="n">
        <v>0</v>
      </c>
      <c r="J147" t="n">
        <v>0</v>
      </c>
      <c r="K147" t="n">
        <v>0</v>
      </c>
      <c r="L147" t="n">
        <v>0</v>
      </c>
      <c r="M147" t="n">
        <v>0</v>
      </c>
      <c r="N147" t="n">
        <v>0</v>
      </c>
      <c r="O147" t="n">
        <v>0</v>
      </c>
      <c r="P147" t="n">
        <v>0</v>
      </c>
      <c r="Q147" t="n">
        <v>0</v>
      </c>
      <c r="R147" s="2" t="inlineStr"/>
    </row>
    <row r="148" ht="15" customHeight="1">
      <c r="A148" t="inlineStr">
        <is>
          <t>A 10244-2026</t>
        </is>
      </c>
      <c r="B148" s="1" t="n">
        <v>46076.55032407407</v>
      </c>
      <c r="C148" s="1" t="n">
        <v>46133</v>
      </c>
      <c r="D148" t="inlineStr">
        <is>
          <t>VÄSTMANLANDS LÄN</t>
        </is>
      </c>
      <c r="E148" t="inlineStr">
        <is>
          <t>SURAHAMMAR</t>
        </is>
      </c>
      <c r="F148" t="inlineStr">
        <is>
          <t>Allmännings- och besparingsskogar</t>
        </is>
      </c>
      <c r="G148" t="n">
        <v>8.699999999999999</v>
      </c>
      <c r="H148" t="n">
        <v>0</v>
      </c>
      <c r="I148" t="n">
        <v>0</v>
      </c>
      <c r="J148" t="n">
        <v>0</v>
      </c>
      <c r="K148" t="n">
        <v>0</v>
      </c>
      <c r="L148" t="n">
        <v>0</v>
      </c>
      <c r="M148" t="n">
        <v>0</v>
      </c>
      <c r="N148" t="n">
        <v>0</v>
      </c>
      <c r="O148" t="n">
        <v>0</v>
      </c>
      <c r="P148" t="n">
        <v>0</v>
      </c>
      <c r="Q148" t="n">
        <v>0</v>
      </c>
      <c r="R148" s="2" t="inlineStr"/>
    </row>
    <row r="149" ht="15" customHeight="1">
      <c r="A149" t="inlineStr">
        <is>
          <t>A 10562-2026</t>
        </is>
      </c>
      <c r="B149" s="1" t="n">
        <v>46077.64043981482</v>
      </c>
      <c r="C149" s="1" t="n">
        <v>46133</v>
      </c>
      <c r="D149" t="inlineStr">
        <is>
          <t>VÄSTMANLANDS LÄN</t>
        </is>
      </c>
      <c r="E149" t="inlineStr">
        <is>
          <t>SURAHAMMAR</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14626-2023</t>
        </is>
      </c>
      <c r="B150" s="1" t="n">
        <v>45012</v>
      </c>
      <c r="C150" s="1" t="n">
        <v>46133</v>
      </c>
      <c r="D150" t="inlineStr">
        <is>
          <t>VÄSTMANLANDS LÄN</t>
        </is>
      </c>
      <c r="E150" t="inlineStr">
        <is>
          <t>SURAHAMMAR</t>
        </is>
      </c>
      <c r="F150" t="inlineStr">
        <is>
          <t>Bergvik skog väst AB</t>
        </is>
      </c>
      <c r="G150" t="n">
        <v>5</v>
      </c>
      <c r="H150" t="n">
        <v>0</v>
      </c>
      <c r="I150" t="n">
        <v>0</v>
      </c>
      <c r="J150" t="n">
        <v>0</v>
      </c>
      <c r="K150" t="n">
        <v>0</v>
      </c>
      <c r="L150" t="n">
        <v>0</v>
      </c>
      <c r="M150" t="n">
        <v>0</v>
      </c>
      <c r="N150" t="n">
        <v>0</v>
      </c>
      <c r="O150" t="n">
        <v>0</v>
      </c>
      <c r="P150" t="n">
        <v>0</v>
      </c>
      <c r="Q150" t="n">
        <v>0</v>
      </c>
      <c r="R150" s="2" t="inlineStr"/>
    </row>
    <row r="151" ht="15" customHeight="1">
      <c r="A151" t="inlineStr">
        <is>
          <t>A 37798-2021</t>
        </is>
      </c>
      <c r="B151" s="1" t="n">
        <v>44402</v>
      </c>
      <c r="C151" s="1" t="n">
        <v>46133</v>
      </c>
      <c r="D151" t="inlineStr">
        <is>
          <t>VÄSTMANLANDS LÄN</t>
        </is>
      </c>
      <c r="E151" t="inlineStr">
        <is>
          <t>SURAHAMMAR</t>
        </is>
      </c>
      <c r="F151" t="inlineStr">
        <is>
          <t>Kommuner</t>
        </is>
      </c>
      <c r="G151" t="n">
        <v>1.2</v>
      </c>
      <c r="H151" t="n">
        <v>0</v>
      </c>
      <c r="I151" t="n">
        <v>0</v>
      </c>
      <c r="J151" t="n">
        <v>0</v>
      </c>
      <c r="K151" t="n">
        <v>0</v>
      </c>
      <c r="L151" t="n">
        <v>0</v>
      </c>
      <c r="M151" t="n">
        <v>0</v>
      </c>
      <c r="N151" t="n">
        <v>0</v>
      </c>
      <c r="O151" t="n">
        <v>0</v>
      </c>
      <c r="P151" t="n">
        <v>0</v>
      </c>
      <c r="Q151" t="n">
        <v>0</v>
      </c>
      <c r="R151" s="2" t="inlineStr"/>
    </row>
    <row r="152" ht="15" customHeight="1">
      <c r="A152" t="inlineStr">
        <is>
          <t>A 10347-2026</t>
        </is>
      </c>
      <c r="B152" s="1" t="n">
        <v>46076.69101851852</v>
      </c>
      <c r="C152" s="1" t="n">
        <v>46133</v>
      </c>
      <c r="D152" t="inlineStr">
        <is>
          <t>VÄSTMANLANDS LÄN</t>
        </is>
      </c>
      <c r="E152" t="inlineStr">
        <is>
          <t>SURAHAMMAR</t>
        </is>
      </c>
      <c r="F152" t="inlineStr">
        <is>
          <t>Allmännings- och besparingsskogar</t>
        </is>
      </c>
      <c r="G152" t="n">
        <v>3</v>
      </c>
      <c r="H152" t="n">
        <v>0</v>
      </c>
      <c r="I152" t="n">
        <v>0</v>
      </c>
      <c r="J152" t="n">
        <v>0</v>
      </c>
      <c r="K152" t="n">
        <v>0</v>
      </c>
      <c r="L152" t="n">
        <v>0</v>
      </c>
      <c r="M152" t="n">
        <v>0</v>
      </c>
      <c r="N152" t="n">
        <v>0</v>
      </c>
      <c r="O152" t="n">
        <v>0</v>
      </c>
      <c r="P152" t="n">
        <v>0</v>
      </c>
      <c r="Q152" t="n">
        <v>0</v>
      </c>
      <c r="R152" s="2" t="inlineStr"/>
    </row>
    <row r="153" ht="15" customHeight="1">
      <c r="A153" t="inlineStr">
        <is>
          <t>A 25450-2024</t>
        </is>
      </c>
      <c r="B153" s="1" t="n">
        <v>45463</v>
      </c>
      <c r="C153" s="1" t="n">
        <v>46133</v>
      </c>
      <c r="D153" t="inlineStr">
        <is>
          <t>VÄSTMANLANDS LÄN</t>
        </is>
      </c>
      <c r="E153" t="inlineStr">
        <is>
          <t>SURAHAMMAR</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19246-2026</t>
        </is>
      </c>
      <c r="B154" s="1" t="n">
        <v>46132.66501157408</v>
      </c>
      <c r="C154" s="1" t="n">
        <v>46133</v>
      </c>
      <c r="D154" t="inlineStr">
        <is>
          <t>VÄSTMANLANDS LÄN</t>
        </is>
      </c>
      <c r="E154" t="inlineStr">
        <is>
          <t>SURAHAMMAR</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19782-2023</t>
        </is>
      </c>
      <c r="B155" s="1" t="n">
        <v>45050</v>
      </c>
      <c r="C155" s="1" t="n">
        <v>46133</v>
      </c>
      <c r="D155" t="inlineStr">
        <is>
          <t>VÄSTMANLANDS LÄN</t>
        </is>
      </c>
      <c r="E155" t="inlineStr">
        <is>
          <t>SURAHAMMAR</t>
        </is>
      </c>
      <c r="F155" t="inlineStr">
        <is>
          <t>Bergvik skog väst AB</t>
        </is>
      </c>
      <c r="G155" t="n">
        <v>5.2</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44608.58400462963</v>
      </c>
      <c r="C156" s="1" t="n">
        <v>46133</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24167-2024</t>
        </is>
      </c>
      <c r="B157" s="1" t="n">
        <v>45456</v>
      </c>
      <c r="C157" s="1" t="n">
        <v>46133</v>
      </c>
      <c r="D157" t="inlineStr">
        <is>
          <t>VÄSTMANLANDS LÄN</t>
        </is>
      </c>
      <c r="E157" t="inlineStr">
        <is>
          <t>SURAHAMMAR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56378-2023</t>
        </is>
      </c>
      <c r="B158" s="1" t="n">
        <v>45236</v>
      </c>
      <c r="C158" s="1" t="n">
        <v>46133</v>
      </c>
      <c r="D158" t="inlineStr">
        <is>
          <t>VÄSTMANLANDS LÄN</t>
        </is>
      </c>
      <c r="E158" t="inlineStr">
        <is>
          <t>SURAHAMMAR</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19099-2022</t>
        </is>
      </c>
      <c r="B159" s="1" t="n">
        <v>44691</v>
      </c>
      <c r="C159" s="1" t="n">
        <v>46133</v>
      </c>
      <c r="D159" t="inlineStr">
        <is>
          <t>VÄSTMANLANDS LÄN</t>
        </is>
      </c>
      <c r="E159" t="inlineStr">
        <is>
          <t>SURAHAMMAR</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11501-2023</t>
        </is>
      </c>
      <c r="B160" s="1" t="n">
        <v>44991</v>
      </c>
      <c r="C160" s="1" t="n">
        <v>46133</v>
      </c>
      <c r="D160" t="inlineStr">
        <is>
          <t>VÄSTMANLANDS LÄN</t>
        </is>
      </c>
      <c r="E160" t="inlineStr">
        <is>
          <t>SURAHAMMAR</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3818-2022</t>
        </is>
      </c>
      <c r="B161" s="1" t="n">
        <v>44587</v>
      </c>
      <c r="C161" s="1" t="n">
        <v>46133</v>
      </c>
      <c r="D161" t="inlineStr">
        <is>
          <t>VÄSTMANLANDS LÄN</t>
        </is>
      </c>
      <c r="E161" t="inlineStr">
        <is>
          <t>SURAHAMMAR</t>
        </is>
      </c>
      <c r="G161" t="n">
        <v>2.6</v>
      </c>
      <c r="H161" t="n">
        <v>0</v>
      </c>
      <c r="I161" t="n">
        <v>0</v>
      </c>
      <c r="J161" t="n">
        <v>0</v>
      </c>
      <c r="K161" t="n">
        <v>0</v>
      </c>
      <c r="L161" t="n">
        <v>0</v>
      </c>
      <c r="M161" t="n">
        <v>0</v>
      </c>
      <c r="N161" t="n">
        <v>0</v>
      </c>
      <c r="O161" t="n">
        <v>0</v>
      </c>
      <c r="P161" t="n">
        <v>0</v>
      </c>
      <c r="Q161" t="n">
        <v>0</v>
      </c>
      <c r="R161" s="2" t="inlineStr"/>
    </row>
    <row r="162" ht="15" customHeight="1">
      <c r="A162" t="inlineStr">
        <is>
          <t>A 21509-2024</t>
        </is>
      </c>
      <c r="B162" s="1" t="n">
        <v>45441</v>
      </c>
      <c r="C162" s="1" t="n">
        <v>46133</v>
      </c>
      <c r="D162" t="inlineStr">
        <is>
          <t>VÄSTMANLANDS LÄN</t>
        </is>
      </c>
      <c r="E162" t="inlineStr">
        <is>
          <t>SURAHAMMAR</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22662-2023</t>
        </is>
      </c>
      <c r="B163" s="1" t="n">
        <v>45071</v>
      </c>
      <c r="C163" s="1" t="n">
        <v>46133</v>
      </c>
      <c r="D163" t="inlineStr">
        <is>
          <t>VÄSTMANLANDS LÄN</t>
        </is>
      </c>
      <c r="E163" t="inlineStr">
        <is>
          <t>SURAHAMMAR</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16013-2023</t>
        </is>
      </c>
      <c r="B164" s="1" t="n">
        <v>45026</v>
      </c>
      <c r="C164" s="1" t="n">
        <v>46133</v>
      </c>
      <c r="D164" t="inlineStr">
        <is>
          <t>VÄSTMANLANDS LÄN</t>
        </is>
      </c>
      <c r="E164" t="inlineStr">
        <is>
          <t>SURAHAMMAR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46133</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25780-2023</t>
        </is>
      </c>
      <c r="B166" s="1" t="n">
        <v>45090.47523148148</v>
      </c>
      <c r="C166" s="1" t="n">
        <v>46133</v>
      </c>
      <c r="D166" t="inlineStr">
        <is>
          <t>VÄSTMANLANDS LÄN</t>
        </is>
      </c>
      <c r="E166" t="inlineStr">
        <is>
          <t>SURAHAMMAR</t>
        </is>
      </c>
      <c r="G166" t="n">
        <v>2.8</v>
      </c>
      <c r="H166" t="n">
        <v>0</v>
      </c>
      <c r="I166" t="n">
        <v>0</v>
      </c>
      <c r="J166" t="n">
        <v>0</v>
      </c>
      <c r="K166" t="n">
        <v>0</v>
      </c>
      <c r="L166" t="n">
        <v>0</v>
      </c>
      <c r="M166" t="n">
        <v>0</v>
      </c>
      <c r="N166" t="n">
        <v>0</v>
      </c>
      <c r="O166" t="n">
        <v>0</v>
      </c>
      <c r="P166" t="n">
        <v>0</v>
      </c>
      <c r="Q166" t="n">
        <v>0</v>
      </c>
      <c r="R166" s="2" t="inlineStr"/>
    </row>
    <row r="167" ht="15" customHeight="1">
      <c r="A167" t="inlineStr">
        <is>
          <t>A 13386-2025</t>
        </is>
      </c>
      <c r="B167" s="1" t="n">
        <v>45735</v>
      </c>
      <c r="C167" s="1" t="n">
        <v>46133</v>
      </c>
      <c r="D167" t="inlineStr">
        <is>
          <t>VÄSTMANLANDS LÄN</t>
        </is>
      </c>
      <c r="E167" t="inlineStr">
        <is>
          <t>SURAHAMMAR</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c r="A168" t="inlineStr">
        <is>
          <t>A 47785-2021</t>
        </is>
      </c>
      <c r="B168" s="1" t="n">
        <v>44448</v>
      </c>
      <c r="C168" s="1" t="n">
        <v>46133</v>
      </c>
      <c r="D168" t="inlineStr">
        <is>
          <t>VÄSTMANLANDS LÄN</t>
        </is>
      </c>
      <c r="E168" t="inlineStr">
        <is>
          <t>SURAHAMMAR</t>
        </is>
      </c>
      <c r="F168" t="inlineStr">
        <is>
          <t>Kommuner</t>
        </is>
      </c>
      <c r="G168" t="n">
        <v>3.3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2026-04-21T10:50:26Z</dcterms:created>
  <dcterms:modified xmlns:dcterms="http://purl.org/dc/terms/" xmlns:xsi="http://www.w3.org/2001/XMLSchema-instance" xsi:type="dcterms:W3CDTF">2026-04-21T10:50:26Z</dcterms:modified>
</cp:coreProperties>
</file>