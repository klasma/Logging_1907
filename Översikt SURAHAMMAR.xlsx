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46001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46001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46001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46001</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46001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46001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46001</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46001</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46001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46001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46001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46001</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46001</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46001</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46001</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46001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46001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46001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46001</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46001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38172-2024</t>
        </is>
      </c>
      <c r="B23" s="1" t="n">
        <v>45545</v>
      </c>
      <c r="C23" s="1" t="n">
        <v>46001</v>
      </c>
      <c r="D23" t="inlineStr">
        <is>
          <t>VÄSTMANLANDS LÄN</t>
        </is>
      </c>
      <c r="E23" t="inlineStr">
        <is>
          <t>SURAHAMMAR</t>
        </is>
      </c>
      <c r="F23" t="inlineStr">
        <is>
          <t>Sveaskog</t>
        </is>
      </c>
      <c r="G23" t="n">
        <v>5.2</v>
      </c>
      <c r="H23" t="n">
        <v>2</v>
      </c>
      <c r="I23" t="n">
        <v>0</v>
      </c>
      <c r="J23" t="n">
        <v>2</v>
      </c>
      <c r="K23" t="n">
        <v>1</v>
      </c>
      <c r="L23" t="n">
        <v>0</v>
      </c>
      <c r="M23" t="n">
        <v>0</v>
      </c>
      <c r="N23" t="n">
        <v>0</v>
      </c>
      <c r="O23" t="n">
        <v>3</v>
      </c>
      <c r="P23" t="n">
        <v>1</v>
      </c>
      <c r="Q23" t="n">
        <v>4</v>
      </c>
      <c r="R23" s="2" t="inlineStr">
        <is>
          <t>Knärot
Gropticka
Vedtrappmossa
Revlummer</t>
        </is>
      </c>
      <c r="S23">
        <f>HYPERLINK("https://klasma.github.io/Logging_1907/artfynd/A 38172-2024 artfynd.xlsx", "A 38172-2024")</f>
        <v/>
      </c>
      <c r="T23">
        <f>HYPERLINK("https://klasma.github.io/Logging_1907/kartor/A 38172-2024 karta.png", "A 38172-2024")</f>
        <v/>
      </c>
      <c r="U23">
        <f>HYPERLINK("https://klasma.github.io/Logging_1907/knärot/A 38172-2024 karta knärot.png", "A 38172-2024")</f>
        <v/>
      </c>
      <c r="V23">
        <f>HYPERLINK("https://klasma.github.io/Logging_1907/klagomål/A 38172-2024 FSC-klagomål.docx", "A 38172-2024")</f>
        <v/>
      </c>
      <c r="W23">
        <f>HYPERLINK("https://klasma.github.io/Logging_1907/klagomålsmail/A 38172-2024 FSC-klagomål mail.docx", "A 38172-2024")</f>
        <v/>
      </c>
      <c r="X23">
        <f>HYPERLINK("https://klasma.github.io/Logging_1907/tillsyn/A 38172-2024 tillsynsbegäran.docx", "A 38172-2024")</f>
        <v/>
      </c>
      <c r="Y23">
        <f>HYPERLINK("https://klasma.github.io/Logging_1907/tillsynsmail/A 38172-2024 tillsynsbegäran mail.docx", "A 38172-2024")</f>
        <v/>
      </c>
    </row>
    <row r="24" ht="15" customHeight="1">
      <c r="A24" t="inlineStr">
        <is>
          <t>A 65024-2023</t>
        </is>
      </c>
      <c r="B24" s="1" t="n">
        <v>45282</v>
      </c>
      <c r="C24" s="1" t="n">
        <v>46001</v>
      </c>
      <c r="D24" t="inlineStr">
        <is>
          <t>VÄSTMANLANDS LÄN</t>
        </is>
      </c>
      <c r="E24" t="inlineStr">
        <is>
          <t>SURAHAMMAR</t>
        </is>
      </c>
      <c r="F24" t="inlineStr">
        <is>
          <t>Bergvik skog väst AB</t>
        </is>
      </c>
      <c r="G24" t="n">
        <v>14.9</v>
      </c>
      <c r="H24" t="n">
        <v>2</v>
      </c>
      <c r="I24" t="n">
        <v>1</v>
      </c>
      <c r="J24" t="n">
        <v>3</v>
      </c>
      <c r="K24" t="n">
        <v>0</v>
      </c>
      <c r="L24" t="n">
        <v>0</v>
      </c>
      <c r="M24" t="n">
        <v>0</v>
      </c>
      <c r="N24" t="n">
        <v>0</v>
      </c>
      <c r="O24" t="n">
        <v>3</v>
      </c>
      <c r="P24" t="n">
        <v>0</v>
      </c>
      <c r="Q24" t="n">
        <v>4</v>
      </c>
      <c r="R24" s="2" t="inlineStr">
        <is>
          <t>Gropticka
Spillkråka
Talltita
Blodticka</t>
        </is>
      </c>
      <c r="S24">
        <f>HYPERLINK("https://klasma.github.io/Logging_1907/artfynd/A 65024-2023 artfynd.xlsx", "A 65024-2023")</f>
        <v/>
      </c>
      <c r="T24">
        <f>HYPERLINK("https://klasma.github.io/Logging_1907/kartor/A 65024-2023 karta.png", "A 65024-2023")</f>
        <v/>
      </c>
      <c r="V24">
        <f>HYPERLINK("https://klasma.github.io/Logging_1907/klagomål/A 65024-2023 FSC-klagomål.docx", "A 65024-2023")</f>
        <v/>
      </c>
      <c r="W24">
        <f>HYPERLINK("https://klasma.github.io/Logging_1907/klagomålsmail/A 65024-2023 FSC-klagomål mail.docx", "A 65024-2023")</f>
        <v/>
      </c>
      <c r="X24">
        <f>HYPERLINK("https://klasma.github.io/Logging_1907/tillsyn/A 65024-2023 tillsynsbegäran.docx", "A 65024-2023")</f>
        <v/>
      </c>
      <c r="Y24">
        <f>HYPERLINK("https://klasma.github.io/Logging_1907/tillsynsmail/A 65024-2023 tillsynsbegäran mail.docx", "A 65024-2023")</f>
        <v/>
      </c>
      <c r="Z24">
        <f>HYPERLINK("https://klasma.github.io/Logging_1907/fåglar/A 65024-2023 prioriterade fågelarter.docx", "A 65024-2023")</f>
        <v/>
      </c>
    </row>
    <row r="25" ht="15" customHeight="1">
      <c r="A25" t="inlineStr">
        <is>
          <t>A 48891-2023</t>
        </is>
      </c>
      <c r="B25" s="1" t="n">
        <v>45203</v>
      </c>
      <c r="C25" s="1" t="n">
        <v>46001</v>
      </c>
      <c r="D25" t="inlineStr">
        <is>
          <t>VÄSTMANLANDS LÄN</t>
        </is>
      </c>
      <c r="E25" t="inlineStr">
        <is>
          <t>SURAHAMMAR</t>
        </is>
      </c>
      <c r="F25" t="inlineStr">
        <is>
          <t>Bergvik skog väst AB</t>
        </is>
      </c>
      <c r="G25" t="n">
        <v>2.9</v>
      </c>
      <c r="H25" t="n">
        <v>3</v>
      </c>
      <c r="I25" t="n">
        <v>1</v>
      </c>
      <c r="J25" t="n">
        <v>1</v>
      </c>
      <c r="K25" t="n">
        <v>1</v>
      </c>
      <c r="L25" t="n">
        <v>0</v>
      </c>
      <c r="M25" t="n">
        <v>0</v>
      </c>
      <c r="N25" t="n">
        <v>0</v>
      </c>
      <c r="O25" t="n">
        <v>2</v>
      </c>
      <c r="P25" t="n">
        <v>1</v>
      </c>
      <c r="Q25" t="n">
        <v>4</v>
      </c>
      <c r="R25" s="2" t="inlineStr">
        <is>
          <t>Knärot
Spillkråka
Flagellkvastmossa
Gröngöling</t>
        </is>
      </c>
      <c r="S25">
        <f>HYPERLINK("https://klasma.github.io/Logging_1907/artfynd/A 48891-2023 artfynd.xlsx", "A 48891-2023")</f>
        <v/>
      </c>
      <c r="T25">
        <f>HYPERLINK("https://klasma.github.io/Logging_1907/kartor/A 48891-2023 karta.png", "A 48891-2023")</f>
        <v/>
      </c>
      <c r="U25">
        <f>HYPERLINK("https://klasma.github.io/Logging_1907/knärot/A 48891-2023 karta knärot.png", "A 48891-2023")</f>
        <v/>
      </c>
      <c r="V25">
        <f>HYPERLINK("https://klasma.github.io/Logging_1907/klagomål/A 48891-2023 FSC-klagomål.docx", "A 48891-2023")</f>
        <v/>
      </c>
      <c r="W25">
        <f>HYPERLINK("https://klasma.github.io/Logging_1907/klagomålsmail/A 48891-2023 FSC-klagomål mail.docx", "A 48891-2023")</f>
        <v/>
      </c>
      <c r="X25">
        <f>HYPERLINK("https://klasma.github.io/Logging_1907/tillsyn/A 48891-2023 tillsynsbegäran.docx", "A 48891-2023")</f>
        <v/>
      </c>
      <c r="Y25">
        <f>HYPERLINK("https://klasma.github.io/Logging_1907/tillsynsmail/A 48891-2023 tillsynsbegäran mail.docx", "A 48891-2023")</f>
        <v/>
      </c>
      <c r="Z25">
        <f>HYPERLINK("https://klasma.github.io/Logging_1907/fåglar/A 48891-2023 prioriterade fågelarter.docx", "A 48891-2023")</f>
        <v/>
      </c>
    </row>
    <row r="26" ht="15" customHeight="1">
      <c r="A26" t="inlineStr">
        <is>
          <t>A 4105-2025</t>
        </is>
      </c>
      <c r="B26" s="1" t="n">
        <v>45684</v>
      </c>
      <c r="C26" s="1" t="n">
        <v>46001</v>
      </c>
      <c r="D26" t="inlineStr">
        <is>
          <t>VÄSTMANLANDS LÄN</t>
        </is>
      </c>
      <c r="E26" t="inlineStr">
        <is>
          <t>SURAHAMMAR</t>
        </is>
      </c>
      <c r="F26" t="inlineStr">
        <is>
          <t>Bergvik skog väst AB</t>
        </is>
      </c>
      <c r="G26" t="n">
        <v>14.7</v>
      </c>
      <c r="H26" t="n">
        <v>3</v>
      </c>
      <c r="I26" t="n">
        <v>0</v>
      </c>
      <c r="J26" t="n">
        <v>2</v>
      </c>
      <c r="K26" t="n">
        <v>1</v>
      </c>
      <c r="L26" t="n">
        <v>0</v>
      </c>
      <c r="M26" t="n">
        <v>0</v>
      </c>
      <c r="N26" t="n">
        <v>0</v>
      </c>
      <c r="O26" t="n">
        <v>3</v>
      </c>
      <c r="P26" t="n">
        <v>1</v>
      </c>
      <c r="Q26" t="n">
        <v>4</v>
      </c>
      <c r="R26" s="2" t="inlineStr">
        <is>
          <t>Knärot
Havsörn
Ullticka
Revlummer</t>
        </is>
      </c>
      <c r="S26">
        <f>HYPERLINK("https://klasma.github.io/Logging_1907/artfynd/A 4105-2025 artfynd.xlsx", "A 4105-2025")</f>
        <v/>
      </c>
      <c r="T26">
        <f>HYPERLINK("https://klasma.github.io/Logging_1907/kartor/A 4105-2025 karta.png", "A 4105-2025")</f>
        <v/>
      </c>
      <c r="U26">
        <f>HYPERLINK("https://klasma.github.io/Logging_1907/knärot/A 4105-2025 karta knärot.png", "A 4105-2025")</f>
        <v/>
      </c>
      <c r="V26">
        <f>HYPERLINK("https://klasma.github.io/Logging_1907/klagomål/A 4105-2025 FSC-klagomål.docx", "A 4105-2025")</f>
        <v/>
      </c>
      <c r="W26">
        <f>HYPERLINK("https://klasma.github.io/Logging_1907/klagomålsmail/A 4105-2025 FSC-klagomål mail.docx", "A 4105-2025")</f>
        <v/>
      </c>
      <c r="X26">
        <f>HYPERLINK("https://klasma.github.io/Logging_1907/tillsyn/A 4105-2025 tillsynsbegäran.docx", "A 4105-2025")</f>
        <v/>
      </c>
      <c r="Y26">
        <f>HYPERLINK("https://klasma.github.io/Logging_1907/tillsynsmail/A 4105-2025 tillsynsbegäran mail.docx", "A 4105-2025")</f>
        <v/>
      </c>
      <c r="Z26">
        <f>HYPERLINK("https://klasma.github.io/Logging_1907/fåglar/A 4105-2025 prioriterade fågelarter.docx", "A 4105-2025")</f>
        <v/>
      </c>
    </row>
    <row r="27" ht="15" customHeight="1">
      <c r="A27" t="inlineStr">
        <is>
          <t>A 21716-2025</t>
        </is>
      </c>
      <c r="B27" s="1" t="n">
        <v>45783.54804398148</v>
      </c>
      <c r="C27" s="1" t="n">
        <v>46001</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46001</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42860-2022</t>
        </is>
      </c>
      <c r="B29" s="1" t="n">
        <v>44832</v>
      </c>
      <c r="C29" s="1" t="n">
        <v>46001</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46001</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46001</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46001</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29707-2025</t>
        </is>
      </c>
      <c r="B33" s="1" t="n">
        <v>45825.56100694444</v>
      </c>
      <c r="C33" s="1" t="n">
        <v>46001</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46001</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46001</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46001</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46001</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46001</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46001</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46001</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46001</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46001</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46001</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37800-2021</t>
        </is>
      </c>
      <c r="B44" s="1" t="n">
        <v>44402</v>
      </c>
      <c r="C44" s="1" t="n">
        <v>46001</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46001</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46001</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46001</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46001</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46001</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56362-2023</t>
        </is>
      </c>
      <c r="B50" s="1" t="n">
        <v>45236</v>
      </c>
      <c r="C50" s="1" t="n">
        <v>46001</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39099-2022</t>
        </is>
      </c>
      <c r="B51" s="1" t="n">
        <v>44817</v>
      </c>
      <c r="C51" s="1" t="n">
        <v>46001</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13788-2025</t>
        </is>
      </c>
      <c r="B52" s="1" t="n">
        <v>45737.45327546296</v>
      </c>
      <c r="C52" s="1" t="n">
        <v>46001</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46001</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69777-2021</t>
        </is>
      </c>
      <c r="B54" s="1" t="n">
        <v>44532</v>
      </c>
      <c r="C54" s="1" t="n">
        <v>46001</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46001</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46001</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55042-2025</t>
        </is>
      </c>
      <c r="B57" s="1" t="n">
        <v>45967.65858796296</v>
      </c>
      <c r="C57" s="1" t="n">
        <v>46001</v>
      </c>
      <c r="D57" t="inlineStr">
        <is>
          <t>VÄSTMANLANDS LÄN</t>
        </is>
      </c>
      <c r="E57" t="inlineStr">
        <is>
          <t>SURAHAMMAR</t>
        </is>
      </c>
      <c r="F57" t="inlineStr">
        <is>
          <t>Sveaskog</t>
        </is>
      </c>
      <c r="G57" t="n">
        <v>7.2</v>
      </c>
      <c r="H57" t="n">
        <v>0</v>
      </c>
      <c r="I57" t="n">
        <v>0</v>
      </c>
      <c r="J57" t="n">
        <v>1</v>
      </c>
      <c r="K57" t="n">
        <v>0</v>
      </c>
      <c r="L57" t="n">
        <v>0</v>
      </c>
      <c r="M57" t="n">
        <v>0</v>
      </c>
      <c r="N57" t="n">
        <v>0</v>
      </c>
      <c r="O57" t="n">
        <v>1</v>
      </c>
      <c r="P57" t="n">
        <v>0</v>
      </c>
      <c r="Q57" t="n">
        <v>1</v>
      </c>
      <c r="R57" s="2" t="inlineStr">
        <is>
          <t>Motaggsvamp</t>
        </is>
      </c>
      <c r="S57">
        <f>HYPERLINK("https://klasma.github.io/Logging_1907/artfynd/A 55042-2025 artfynd.xlsx", "A 55042-2025")</f>
        <v/>
      </c>
      <c r="T57">
        <f>HYPERLINK("https://klasma.github.io/Logging_1907/kartor/A 55042-2025 karta.png", "A 55042-2025")</f>
        <v/>
      </c>
      <c r="V57">
        <f>HYPERLINK("https://klasma.github.io/Logging_1907/klagomål/A 55042-2025 FSC-klagomål.docx", "A 55042-2025")</f>
        <v/>
      </c>
      <c r="W57">
        <f>HYPERLINK("https://klasma.github.io/Logging_1907/klagomålsmail/A 55042-2025 FSC-klagomål mail.docx", "A 55042-2025")</f>
        <v/>
      </c>
      <c r="X57">
        <f>HYPERLINK("https://klasma.github.io/Logging_1907/tillsyn/A 55042-2025 tillsynsbegäran.docx", "A 55042-2025")</f>
        <v/>
      </c>
      <c r="Y57">
        <f>HYPERLINK("https://klasma.github.io/Logging_1907/tillsynsmail/A 55042-2025 tillsynsbegäran mail.docx", "A 55042-2025")</f>
        <v/>
      </c>
    </row>
    <row r="58" ht="15" customHeight="1">
      <c r="A58" t="inlineStr">
        <is>
          <t>A 10819-2024</t>
        </is>
      </c>
      <c r="B58" s="1" t="n">
        <v>45369.66049768519</v>
      </c>
      <c r="C58" s="1" t="n">
        <v>46001</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56768-2025</t>
        </is>
      </c>
      <c r="B59" s="1" t="n">
        <v>45978</v>
      </c>
      <c r="C59" s="1" t="n">
        <v>46001</v>
      </c>
      <c r="D59" t="inlineStr">
        <is>
          <t>VÄSTMANLANDS LÄN</t>
        </is>
      </c>
      <c r="E59" t="inlineStr">
        <is>
          <t>SURAHAMMAR</t>
        </is>
      </c>
      <c r="F59" t="inlineStr">
        <is>
          <t>Sveaskog</t>
        </is>
      </c>
      <c r="G59" t="n">
        <v>3.8</v>
      </c>
      <c r="H59" t="n">
        <v>0</v>
      </c>
      <c r="I59" t="n">
        <v>0</v>
      </c>
      <c r="J59" t="n">
        <v>1</v>
      </c>
      <c r="K59" t="n">
        <v>0</v>
      </c>
      <c r="L59" t="n">
        <v>0</v>
      </c>
      <c r="M59" t="n">
        <v>0</v>
      </c>
      <c r="N59" t="n">
        <v>0</v>
      </c>
      <c r="O59" t="n">
        <v>1</v>
      </c>
      <c r="P59" t="n">
        <v>0</v>
      </c>
      <c r="Q59" t="n">
        <v>1</v>
      </c>
      <c r="R59" s="2" t="inlineStr">
        <is>
          <t>Motaggsvamp</t>
        </is>
      </c>
      <c r="S59">
        <f>HYPERLINK("https://klasma.github.io/Logging_1907/artfynd/A 56768-2025 artfynd.xlsx", "A 56768-2025")</f>
        <v/>
      </c>
      <c r="T59">
        <f>HYPERLINK("https://klasma.github.io/Logging_1907/kartor/A 56768-2025 karta.png", "A 56768-2025")</f>
        <v/>
      </c>
      <c r="V59">
        <f>HYPERLINK("https://klasma.github.io/Logging_1907/klagomål/A 56768-2025 FSC-klagomål.docx", "A 56768-2025")</f>
        <v/>
      </c>
      <c r="W59">
        <f>HYPERLINK("https://klasma.github.io/Logging_1907/klagomålsmail/A 56768-2025 FSC-klagomål mail.docx", "A 56768-2025")</f>
        <v/>
      </c>
      <c r="X59">
        <f>HYPERLINK("https://klasma.github.io/Logging_1907/tillsyn/A 56768-2025 tillsynsbegäran.docx", "A 56768-2025")</f>
        <v/>
      </c>
      <c r="Y59">
        <f>HYPERLINK("https://klasma.github.io/Logging_1907/tillsynsmail/A 56768-2025 tillsynsbegäran mail.docx", "A 56768-2025")</f>
        <v/>
      </c>
    </row>
    <row r="60" ht="15" customHeight="1">
      <c r="A60" t="inlineStr">
        <is>
          <t>A 40411-2021</t>
        </is>
      </c>
      <c r="B60" s="1" t="n">
        <v>44419</v>
      </c>
      <c r="C60" s="1" t="n">
        <v>46001</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46001</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46001</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46001</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46001</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13971-2023</t>
        </is>
      </c>
      <c r="B65" s="1" t="n">
        <v>45007</v>
      </c>
      <c r="C65" s="1" t="n">
        <v>46001</v>
      </c>
      <c r="D65" t="inlineStr">
        <is>
          <t>VÄSTMANLANDS LÄN</t>
        </is>
      </c>
      <c r="E65" t="inlineStr">
        <is>
          <t>SURAHAMMAR</t>
        </is>
      </c>
      <c r="F65" t="inlineStr">
        <is>
          <t>Bergvik skog väst AB</t>
        </is>
      </c>
      <c r="G65" t="n">
        <v>2.9</v>
      </c>
      <c r="H65" t="n">
        <v>1</v>
      </c>
      <c r="I65" t="n">
        <v>0</v>
      </c>
      <c r="J65" t="n">
        <v>0</v>
      </c>
      <c r="K65" t="n">
        <v>0</v>
      </c>
      <c r="L65" t="n">
        <v>0</v>
      </c>
      <c r="M65" t="n">
        <v>0</v>
      </c>
      <c r="N65" t="n">
        <v>0</v>
      </c>
      <c r="O65" t="n">
        <v>0</v>
      </c>
      <c r="P65" t="n">
        <v>0</v>
      </c>
      <c r="Q65" t="n">
        <v>1</v>
      </c>
      <c r="R65" s="2" t="inlineStr">
        <is>
          <t>Fläcknycklar</t>
        </is>
      </c>
      <c r="S65">
        <f>HYPERLINK("https://klasma.github.io/Logging_1907/artfynd/A 13971-2023 artfynd.xlsx", "A 13971-2023")</f>
        <v/>
      </c>
      <c r="T65">
        <f>HYPERLINK("https://klasma.github.io/Logging_1907/kartor/A 13971-2023 karta.png", "A 13971-2023")</f>
        <v/>
      </c>
      <c r="V65">
        <f>HYPERLINK("https://klasma.github.io/Logging_1907/klagomål/A 13971-2023 FSC-klagomål.docx", "A 13971-2023")</f>
        <v/>
      </c>
      <c r="W65">
        <f>HYPERLINK("https://klasma.github.io/Logging_1907/klagomålsmail/A 13971-2023 FSC-klagomål mail.docx", "A 13971-2023")</f>
        <v/>
      </c>
      <c r="X65">
        <f>HYPERLINK("https://klasma.github.io/Logging_1907/tillsyn/A 13971-2023 tillsynsbegäran.docx", "A 13971-2023")</f>
        <v/>
      </c>
      <c r="Y65">
        <f>HYPERLINK("https://klasma.github.io/Logging_1907/tillsynsmail/A 13971-2023 tillsynsbegäran mail.docx", "A 13971-2023")</f>
        <v/>
      </c>
    </row>
    <row r="66" ht="15" customHeight="1">
      <c r="A66" t="inlineStr">
        <is>
          <t>A 42765-2022</t>
        </is>
      </c>
      <c r="B66" s="1" t="n">
        <v>44832</v>
      </c>
      <c r="C66" s="1" t="n">
        <v>46001</v>
      </c>
      <c r="D66" t="inlineStr">
        <is>
          <t>VÄSTMANLANDS LÄN</t>
        </is>
      </c>
      <c r="E66" t="inlineStr">
        <is>
          <t>SURAHAMMAR</t>
        </is>
      </c>
      <c r="G66" t="n">
        <v>1.8</v>
      </c>
      <c r="H66" t="n">
        <v>1</v>
      </c>
      <c r="I66" t="n">
        <v>0</v>
      </c>
      <c r="J66" t="n">
        <v>0</v>
      </c>
      <c r="K66" t="n">
        <v>0</v>
      </c>
      <c r="L66" t="n">
        <v>0</v>
      </c>
      <c r="M66" t="n">
        <v>0</v>
      </c>
      <c r="N66" t="n">
        <v>0</v>
      </c>
      <c r="O66" t="n">
        <v>0</v>
      </c>
      <c r="P66" t="n">
        <v>0</v>
      </c>
      <c r="Q66" t="n">
        <v>1</v>
      </c>
      <c r="R66" s="2" t="inlineStr">
        <is>
          <t>Blåsippa</t>
        </is>
      </c>
      <c r="S66">
        <f>HYPERLINK("https://klasma.github.io/Logging_1907/artfynd/A 42765-2022 artfynd.xlsx", "A 42765-2022")</f>
        <v/>
      </c>
      <c r="T66">
        <f>HYPERLINK("https://klasma.github.io/Logging_1907/kartor/A 42765-2022 karta.png", "A 42765-2022")</f>
        <v/>
      </c>
      <c r="V66">
        <f>HYPERLINK("https://klasma.github.io/Logging_1907/klagomål/A 42765-2022 FSC-klagomål.docx", "A 42765-2022")</f>
        <v/>
      </c>
      <c r="W66">
        <f>HYPERLINK("https://klasma.github.io/Logging_1907/klagomålsmail/A 42765-2022 FSC-klagomål mail.docx", "A 42765-2022")</f>
        <v/>
      </c>
      <c r="X66">
        <f>HYPERLINK("https://klasma.github.io/Logging_1907/tillsyn/A 42765-2022 tillsynsbegäran.docx", "A 42765-2022")</f>
        <v/>
      </c>
      <c r="Y66">
        <f>HYPERLINK("https://klasma.github.io/Logging_1907/tillsynsmail/A 42765-2022 tillsynsbegäran mail.docx", "A 42765-2022")</f>
        <v/>
      </c>
    </row>
    <row r="67" ht="15" customHeight="1">
      <c r="A67" t="inlineStr">
        <is>
          <t>A 44356-2024</t>
        </is>
      </c>
      <c r="B67" s="1" t="n">
        <v>45573</v>
      </c>
      <c r="C67" s="1" t="n">
        <v>46001</v>
      </c>
      <c r="D67" t="inlineStr">
        <is>
          <t>VÄSTMANLANDS LÄN</t>
        </is>
      </c>
      <c r="E67" t="inlineStr">
        <is>
          <t>SURAHAMMAR</t>
        </is>
      </c>
      <c r="F67" t="inlineStr">
        <is>
          <t>Sveaskog</t>
        </is>
      </c>
      <c r="G67" t="n">
        <v>0.7</v>
      </c>
      <c r="H67" t="n">
        <v>1</v>
      </c>
      <c r="I67" t="n">
        <v>0</v>
      </c>
      <c r="J67" t="n">
        <v>0</v>
      </c>
      <c r="K67" t="n">
        <v>0</v>
      </c>
      <c r="L67" t="n">
        <v>0</v>
      </c>
      <c r="M67" t="n">
        <v>0</v>
      </c>
      <c r="N67" t="n">
        <v>0</v>
      </c>
      <c r="O67" t="n">
        <v>0</v>
      </c>
      <c r="P67" t="n">
        <v>0</v>
      </c>
      <c r="Q67" t="n">
        <v>1</v>
      </c>
      <c r="R67" s="2" t="inlineStr">
        <is>
          <t>Revlummer</t>
        </is>
      </c>
      <c r="S67">
        <f>HYPERLINK("https://klasma.github.io/Logging_1907/artfynd/A 44356-2024 artfynd.xlsx", "A 44356-2024")</f>
        <v/>
      </c>
      <c r="T67">
        <f>HYPERLINK("https://klasma.github.io/Logging_1907/kartor/A 44356-2024 karta.png", "A 44356-2024")</f>
        <v/>
      </c>
      <c r="V67">
        <f>HYPERLINK("https://klasma.github.io/Logging_1907/klagomål/A 44356-2024 FSC-klagomål.docx", "A 44356-2024")</f>
        <v/>
      </c>
      <c r="W67">
        <f>HYPERLINK("https://klasma.github.io/Logging_1907/klagomålsmail/A 44356-2024 FSC-klagomål mail.docx", "A 44356-2024")</f>
        <v/>
      </c>
      <c r="X67">
        <f>HYPERLINK("https://klasma.github.io/Logging_1907/tillsyn/A 44356-2024 tillsynsbegäran.docx", "A 44356-2024")</f>
        <v/>
      </c>
      <c r="Y67">
        <f>HYPERLINK("https://klasma.github.io/Logging_1907/tillsynsmail/A 44356-2024 tillsynsbegäran mail.docx", "A 44356-2024")</f>
        <v/>
      </c>
    </row>
    <row r="68" ht="15" customHeight="1">
      <c r="A68" t="inlineStr">
        <is>
          <t>A 17632-2022</t>
        </is>
      </c>
      <c r="B68" s="1" t="n">
        <v>44680</v>
      </c>
      <c r="C68" s="1" t="n">
        <v>46001</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22840-2023</t>
        </is>
      </c>
      <c r="B69" s="1" t="n">
        <v>45072</v>
      </c>
      <c r="C69" s="1" t="n">
        <v>46001</v>
      </c>
      <c r="D69" t="inlineStr">
        <is>
          <t>VÄSTMANLANDS LÄN</t>
        </is>
      </c>
      <c r="E69" t="inlineStr">
        <is>
          <t>SURAHAMMAR</t>
        </is>
      </c>
      <c r="G69" t="n">
        <v>4.3</v>
      </c>
      <c r="H69" t="n">
        <v>1</v>
      </c>
      <c r="I69" t="n">
        <v>0</v>
      </c>
      <c r="J69" t="n">
        <v>0</v>
      </c>
      <c r="K69" t="n">
        <v>0</v>
      </c>
      <c r="L69" t="n">
        <v>0</v>
      </c>
      <c r="M69" t="n">
        <v>0</v>
      </c>
      <c r="N69" t="n">
        <v>0</v>
      </c>
      <c r="O69" t="n">
        <v>0</v>
      </c>
      <c r="P69" t="n">
        <v>0</v>
      </c>
      <c r="Q69" t="n">
        <v>1</v>
      </c>
      <c r="R69" s="2" t="inlineStr">
        <is>
          <t>Fläcknycklar</t>
        </is>
      </c>
      <c r="S69">
        <f>HYPERLINK("https://klasma.github.io/Logging_1907/artfynd/A 22840-2023 artfynd.xlsx", "A 22840-2023")</f>
        <v/>
      </c>
      <c r="T69">
        <f>HYPERLINK("https://klasma.github.io/Logging_1907/kartor/A 22840-2023 karta.png", "A 22840-2023")</f>
        <v/>
      </c>
      <c r="V69">
        <f>HYPERLINK("https://klasma.github.io/Logging_1907/klagomål/A 22840-2023 FSC-klagomål.docx", "A 22840-2023")</f>
        <v/>
      </c>
      <c r="W69">
        <f>HYPERLINK("https://klasma.github.io/Logging_1907/klagomålsmail/A 22840-2023 FSC-klagomål mail.docx", "A 22840-2023")</f>
        <v/>
      </c>
      <c r="X69">
        <f>HYPERLINK("https://klasma.github.io/Logging_1907/tillsyn/A 22840-2023 tillsynsbegäran.docx", "A 22840-2023")</f>
        <v/>
      </c>
      <c r="Y69">
        <f>HYPERLINK("https://klasma.github.io/Logging_1907/tillsynsmail/A 22840-2023 tillsynsbegäran mail.docx", "A 22840-2023")</f>
        <v/>
      </c>
    </row>
    <row r="70" ht="15" customHeight="1">
      <c r="A70" t="inlineStr">
        <is>
          <t>A 43451-2024</t>
        </is>
      </c>
      <c r="B70" s="1" t="n">
        <v>45568</v>
      </c>
      <c r="C70" s="1" t="n">
        <v>46001</v>
      </c>
      <c r="D70" t="inlineStr">
        <is>
          <t>VÄSTMANLANDS LÄN</t>
        </is>
      </c>
      <c r="E70" t="inlineStr">
        <is>
          <t>SURAHAMMAR</t>
        </is>
      </c>
      <c r="F70" t="inlineStr">
        <is>
          <t>Bergvik skog väst AB</t>
        </is>
      </c>
      <c r="G70" t="n">
        <v>2.9</v>
      </c>
      <c r="H70" t="n">
        <v>0</v>
      </c>
      <c r="I70" t="n">
        <v>0</v>
      </c>
      <c r="J70" t="n">
        <v>1</v>
      </c>
      <c r="K70" t="n">
        <v>0</v>
      </c>
      <c r="L70" t="n">
        <v>0</v>
      </c>
      <c r="M70" t="n">
        <v>0</v>
      </c>
      <c r="N70" t="n">
        <v>0</v>
      </c>
      <c r="O70" t="n">
        <v>1</v>
      </c>
      <c r="P70" t="n">
        <v>0</v>
      </c>
      <c r="Q70" t="n">
        <v>1</v>
      </c>
      <c r="R70" s="2" t="inlineStr">
        <is>
          <t>Ullticka</t>
        </is>
      </c>
      <c r="S70">
        <f>HYPERLINK("https://klasma.github.io/Logging_1907/artfynd/A 43451-2024 artfynd.xlsx", "A 43451-2024")</f>
        <v/>
      </c>
      <c r="T70">
        <f>HYPERLINK("https://klasma.github.io/Logging_1907/kartor/A 43451-2024 karta.png", "A 43451-2024")</f>
        <v/>
      </c>
      <c r="V70">
        <f>HYPERLINK("https://klasma.github.io/Logging_1907/klagomål/A 43451-2024 FSC-klagomål.docx", "A 43451-2024")</f>
        <v/>
      </c>
      <c r="W70">
        <f>HYPERLINK("https://klasma.github.io/Logging_1907/klagomålsmail/A 43451-2024 FSC-klagomål mail.docx", "A 43451-2024")</f>
        <v/>
      </c>
      <c r="X70">
        <f>HYPERLINK("https://klasma.github.io/Logging_1907/tillsyn/A 43451-2024 tillsynsbegäran.docx", "A 43451-2024")</f>
        <v/>
      </c>
      <c r="Y70">
        <f>HYPERLINK("https://klasma.github.io/Logging_1907/tillsynsmail/A 43451-2024 tillsynsbegäran mail.docx", "A 43451-2024")</f>
        <v/>
      </c>
    </row>
    <row r="71" ht="15" customHeight="1">
      <c r="A71" t="inlineStr">
        <is>
          <t>A 1492-2021</t>
        </is>
      </c>
      <c r="B71" s="1" t="n">
        <v>44209</v>
      </c>
      <c r="C71" s="1" t="n">
        <v>46001</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46001</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46001</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46001</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46001</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46001</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46001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46001</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46001</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46001</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46001</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46001</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3155-2022</t>
        </is>
      </c>
      <c r="B83" s="1" t="n">
        <v>44582</v>
      </c>
      <c r="C83" s="1" t="n">
        <v>46001</v>
      </c>
      <c r="D83" t="inlineStr">
        <is>
          <t>VÄSTMANLANDS LÄN</t>
        </is>
      </c>
      <c r="E83" t="inlineStr">
        <is>
          <t>SURAHAMMAR</t>
        </is>
      </c>
      <c r="G83" t="n">
        <v>5.5</v>
      </c>
      <c r="H83" t="n">
        <v>0</v>
      </c>
      <c r="I83" t="n">
        <v>0</v>
      </c>
      <c r="J83" t="n">
        <v>0</v>
      </c>
      <c r="K83" t="n">
        <v>0</v>
      </c>
      <c r="L83" t="n">
        <v>0</v>
      </c>
      <c r="M83" t="n">
        <v>0</v>
      </c>
      <c r="N83" t="n">
        <v>0</v>
      </c>
      <c r="O83" t="n">
        <v>0</v>
      </c>
      <c r="P83" t="n">
        <v>0</v>
      </c>
      <c r="Q83" t="n">
        <v>0</v>
      </c>
      <c r="R83" s="2" t="inlineStr"/>
    </row>
    <row r="84" ht="15" customHeight="1">
      <c r="A84" t="inlineStr">
        <is>
          <t>A 66350-2021</t>
        </is>
      </c>
      <c r="B84" s="1" t="n">
        <v>44518</v>
      </c>
      <c r="C84" s="1" t="n">
        <v>46001</v>
      </c>
      <c r="D84" t="inlineStr">
        <is>
          <t>VÄSTMANLANDS LÄN</t>
        </is>
      </c>
      <c r="E84" t="inlineStr">
        <is>
          <t>SURAHAMMAR</t>
        </is>
      </c>
      <c r="F84" t="inlineStr">
        <is>
          <t>Sveaskog</t>
        </is>
      </c>
      <c r="G84" t="n">
        <v>3.5</v>
      </c>
      <c r="H84" t="n">
        <v>0</v>
      </c>
      <c r="I84" t="n">
        <v>0</v>
      </c>
      <c r="J84" t="n">
        <v>0</v>
      </c>
      <c r="K84" t="n">
        <v>0</v>
      </c>
      <c r="L84" t="n">
        <v>0</v>
      </c>
      <c r="M84" t="n">
        <v>0</v>
      </c>
      <c r="N84" t="n">
        <v>0</v>
      </c>
      <c r="O84" t="n">
        <v>0</v>
      </c>
      <c r="P84" t="n">
        <v>0</v>
      </c>
      <c r="Q84" t="n">
        <v>0</v>
      </c>
      <c r="R84" s="2" t="inlineStr"/>
    </row>
    <row r="85" ht="15" customHeight="1">
      <c r="A85" t="inlineStr">
        <is>
          <t>A 19846-2022</t>
        </is>
      </c>
      <c r="B85" s="1" t="n">
        <v>44696.89327546296</v>
      </c>
      <c r="C85" s="1" t="n">
        <v>46001</v>
      </c>
      <c r="D85" t="inlineStr">
        <is>
          <t>VÄSTMANLANDS LÄN</t>
        </is>
      </c>
      <c r="E85" t="inlineStr">
        <is>
          <t>SURAHAMMAR</t>
        </is>
      </c>
      <c r="F85" t="inlineStr">
        <is>
          <t>Kommuner</t>
        </is>
      </c>
      <c r="G85" t="n">
        <v>3.4</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46001</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46001</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46001</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46001</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21509-2024</t>
        </is>
      </c>
      <c r="B90" s="1" t="n">
        <v>45441</v>
      </c>
      <c r="C90" s="1" t="n">
        <v>46001</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42832-2022</t>
        </is>
      </c>
      <c r="B91" s="1" t="n">
        <v>44832</v>
      </c>
      <c r="C91" s="1" t="n">
        <v>46001</v>
      </c>
      <c r="D91" t="inlineStr">
        <is>
          <t>VÄSTMANLANDS LÄN</t>
        </is>
      </c>
      <c r="E91" t="inlineStr">
        <is>
          <t>SURAHAMMAR</t>
        </is>
      </c>
      <c r="G91" t="n">
        <v>1.1</v>
      </c>
      <c r="H91" t="n">
        <v>0</v>
      </c>
      <c r="I91" t="n">
        <v>0</v>
      </c>
      <c r="J91" t="n">
        <v>0</v>
      </c>
      <c r="K91" t="n">
        <v>0</v>
      </c>
      <c r="L91" t="n">
        <v>0</v>
      </c>
      <c r="M91" t="n">
        <v>0</v>
      </c>
      <c r="N91" t="n">
        <v>0</v>
      </c>
      <c r="O91" t="n">
        <v>0</v>
      </c>
      <c r="P91" t="n">
        <v>0</v>
      </c>
      <c r="Q91" t="n">
        <v>0</v>
      </c>
      <c r="R91" s="2" t="inlineStr"/>
    </row>
    <row r="92" ht="15" customHeight="1">
      <c r="A92" t="inlineStr">
        <is>
          <t>A 42841-2022</t>
        </is>
      </c>
      <c r="B92" s="1" t="n">
        <v>44832</v>
      </c>
      <c r="C92" s="1" t="n">
        <v>46001</v>
      </c>
      <c r="D92" t="inlineStr">
        <is>
          <t>VÄSTMANLANDS LÄN</t>
        </is>
      </c>
      <c r="E92" t="inlineStr">
        <is>
          <t>SURAHAMMAR</t>
        </is>
      </c>
      <c r="G92" t="n">
        <v>1.8</v>
      </c>
      <c r="H92" t="n">
        <v>0</v>
      </c>
      <c r="I92" t="n">
        <v>0</v>
      </c>
      <c r="J92" t="n">
        <v>0</v>
      </c>
      <c r="K92" t="n">
        <v>0</v>
      </c>
      <c r="L92" t="n">
        <v>0</v>
      </c>
      <c r="M92" t="n">
        <v>0</v>
      </c>
      <c r="N92" t="n">
        <v>0</v>
      </c>
      <c r="O92" t="n">
        <v>0</v>
      </c>
      <c r="P92" t="n">
        <v>0</v>
      </c>
      <c r="Q92" t="n">
        <v>0</v>
      </c>
      <c r="R92" s="2" t="inlineStr"/>
    </row>
    <row r="93" ht="15" customHeight="1">
      <c r="A93" t="inlineStr">
        <is>
          <t>A 24158-2023</t>
        </is>
      </c>
      <c r="B93" s="1" t="n">
        <v>45079</v>
      </c>
      <c r="C93" s="1" t="n">
        <v>46001</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15739-2023</t>
        </is>
      </c>
      <c r="B94" s="1" t="n">
        <v>45021</v>
      </c>
      <c r="C94" s="1" t="n">
        <v>46001</v>
      </c>
      <c r="D94" t="inlineStr">
        <is>
          <t>VÄSTMANLANDS LÄN</t>
        </is>
      </c>
      <c r="E94" t="inlineStr">
        <is>
          <t>SURAHAMMAR</t>
        </is>
      </c>
      <c r="G94" t="n">
        <v>1.3</v>
      </c>
      <c r="H94" t="n">
        <v>0</v>
      </c>
      <c r="I94" t="n">
        <v>0</v>
      </c>
      <c r="J94" t="n">
        <v>0</v>
      </c>
      <c r="K94" t="n">
        <v>0</v>
      </c>
      <c r="L94" t="n">
        <v>0</v>
      </c>
      <c r="M94" t="n">
        <v>0</v>
      </c>
      <c r="N94" t="n">
        <v>0</v>
      </c>
      <c r="O94" t="n">
        <v>0</v>
      </c>
      <c r="P94" t="n">
        <v>0</v>
      </c>
      <c r="Q94" t="n">
        <v>0</v>
      </c>
      <c r="R94" s="2" t="inlineStr"/>
    </row>
    <row r="95" ht="15" customHeight="1">
      <c r="A95" t="inlineStr">
        <is>
          <t>A 38154-2021</t>
        </is>
      </c>
      <c r="B95" s="1" t="n">
        <v>44405.42373842592</v>
      </c>
      <c r="C95" s="1" t="n">
        <v>46001</v>
      </c>
      <c r="D95" t="inlineStr">
        <is>
          <t>VÄSTMANLANDS LÄN</t>
        </is>
      </c>
      <c r="E95" t="inlineStr">
        <is>
          <t>SURAHAMMAR</t>
        </is>
      </c>
      <c r="F95" t="inlineStr">
        <is>
          <t>Sveaskog</t>
        </is>
      </c>
      <c r="G95" t="n">
        <v>1.3</v>
      </c>
      <c r="H95" t="n">
        <v>0</v>
      </c>
      <c r="I95" t="n">
        <v>0</v>
      </c>
      <c r="J95" t="n">
        <v>0</v>
      </c>
      <c r="K95" t="n">
        <v>0</v>
      </c>
      <c r="L95" t="n">
        <v>0</v>
      </c>
      <c r="M95" t="n">
        <v>0</v>
      </c>
      <c r="N95" t="n">
        <v>0</v>
      </c>
      <c r="O95" t="n">
        <v>0</v>
      </c>
      <c r="P95" t="n">
        <v>0</v>
      </c>
      <c r="Q95" t="n">
        <v>0</v>
      </c>
      <c r="R95" s="2" t="inlineStr"/>
    </row>
    <row r="96" ht="15" customHeight="1">
      <c r="A96" t="inlineStr">
        <is>
          <t>A 34582-2025</t>
        </is>
      </c>
      <c r="B96" s="1" t="n">
        <v>45846</v>
      </c>
      <c r="C96" s="1" t="n">
        <v>46001</v>
      </c>
      <c r="D96" t="inlineStr">
        <is>
          <t>VÄSTMANLANDS LÄN</t>
        </is>
      </c>
      <c r="E96" t="inlineStr">
        <is>
          <t>SURAHAMMAR</t>
        </is>
      </c>
      <c r="F96" t="inlineStr">
        <is>
          <t>Bergvik skog väst AB</t>
        </is>
      </c>
      <c r="G96" t="n">
        <v>2.6</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46001</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46001</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3818-2022</t>
        </is>
      </c>
      <c r="B99" s="1" t="n">
        <v>44587</v>
      </c>
      <c r="C99" s="1" t="n">
        <v>46001</v>
      </c>
      <c r="D99" t="inlineStr">
        <is>
          <t>VÄSTMANLANDS LÄN</t>
        </is>
      </c>
      <c r="E99" t="inlineStr">
        <is>
          <t>SURAHAMMAR</t>
        </is>
      </c>
      <c r="G99" t="n">
        <v>2.6</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46001</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46001</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46001</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46001</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46001</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46001</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46001</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34584-2025</t>
        </is>
      </c>
      <c r="B107" s="1" t="n">
        <v>45846</v>
      </c>
      <c r="C107" s="1" t="n">
        <v>46001</v>
      </c>
      <c r="D107" t="inlineStr">
        <is>
          <t>VÄSTMANLANDS LÄN</t>
        </is>
      </c>
      <c r="E107" t="inlineStr">
        <is>
          <t>SURAHAMMAR</t>
        </is>
      </c>
      <c r="F107" t="inlineStr">
        <is>
          <t>Bergvik skog väst AB</t>
        </is>
      </c>
      <c r="G107" t="n">
        <v>2.7</v>
      </c>
      <c r="H107" t="n">
        <v>0</v>
      </c>
      <c r="I107" t="n">
        <v>0</v>
      </c>
      <c r="J107" t="n">
        <v>0</v>
      </c>
      <c r="K107" t="n">
        <v>0</v>
      </c>
      <c r="L107" t="n">
        <v>0</v>
      </c>
      <c r="M107" t="n">
        <v>0</v>
      </c>
      <c r="N107" t="n">
        <v>0</v>
      </c>
      <c r="O107" t="n">
        <v>0</v>
      </c>
      <c r="P107" t="n">
        <v>0</v>
      </c>
      <c r="Q107" t="n">
        <v>0</v>
      </c>
      <c r="R107" s="2" t="inlineStr"/>
    </row>
    <row r="108" ht="15" customHeight="1">
      <c r="A108" t="inlineStr">
        <is>
          <t>A 56378-2023</t>
        </is>
      </c>
      <c r="B108" s="1" t="n">
        <v>45236</v>
      </c>
      <c r="C108" s="1" t="n">
        <v>46001</v>
      </c>
      <c r="D108" t="inlineStr">
        <is>
          <t>VÄSTMANLANDS LÄN</t>
        </is>
      </c>
      <c r="E108" t="inlineStr">
        <is>
          <t>SURAHAMMAR</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11728-2023</t>
        </is>
      </c>
      <c r="B109" s="1" t="n">
        <v>44993</v>
      </c>
      <c r="C109" s="1" t="n">
        <v>46001</v>
      </c>
      <c r="D109" t="inlineStr">
        <is>
          <t>VÄSTMANLANDS LÄN</t>
        </is>
      </c>
      <c r="E109" t="inlineStr">
        <is>
          <t>SURAHAMMAR</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46001</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46001</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55868-2025</t>
        </is>
      </c>
      <c r="B112" s="1" t="n">
        <v>45973.35263888889</v>
      </c>
      <c r="C112" s="1" t="n">
        <v>46001</v>
      </c>
      <c r="D112" t="inlineStr">
        <is>
          <t>VÄSTMANLANDS LÄN</t>
        </is>
      </c>
      <c r="E112" t="inlineStr">
        <is>
          <t>SURAHAMMAR</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46001</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55874-2025</t>
        </is>
      </c>
      <c r="B114" s="1" t="n">
        <v>45973.3569212963</v>
      </c>
      <c r="C114" s="1" t="n">
        <v>46001</v>
      </c>
      <c r="D114" t="inlineStr">
        <is>
          <t>VÄSTMANLANDS LÄN</t>
        </is>
      </c>
      <c r="E114" t="inlineStr">
        <is>
          <t>SURAHAMMAR</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55871-2025</t>
        </is>
      </c>
      <c r="B115" s="1" t="n">
        <v>45973.35452546296</v>
      </c>
      <c r="C115" s="1" t="n">
        <v>46001</v>
      </c>
      <c r="D115" t="inlineStr">
        <is>
          <t>VÄSTMANLANDS LÄN</t>
        </is>
      </c>
      <c r="E115" t="inlineStr">
        <is>
          <t>SURAHAMMAR</t>
        </is>
      </c>
      <c r="F115" t="inlineStr">
        <is>
          <t>Sveaskog</t>
        </is>
      </c>
      <c r="G115" t="n">
        <v>1.4</v>
      </c>
      <c r="H115" t="n">
        <v>0</v>
      </c>
      <c r="I115" t="n">
        <v>0</v>
      </c>
      <c r="J115" t="n">
        <v>0</v>
      </c>
      <c r="K115" t="n">
        <v>0</v>
      </c>
      <c r="L115" t="n">
        <v>0</v>
      </c>
      <c r="M115" t="n">
        <v>0</v>
      </c>
      <c r="N115" t="n">
        <v>0</v>
      </c>
      <c r="O115" t="n">
        <v>0</v>
      </c>
      <c r="P115" t="n">
        <v>0</v>
      </c>
      <c r="Q115" t="n">
        <v>0</v>
      </c>
      <c r="R115" s="2" t="inlineStr"/>
    </row>
    <row r="116" ht="15" customHeight="1">
      <c r="A116" t="inlineStr">
        <is>
          <t>A 11501-2023</t>
        </is>
      </c>
      <c r="B116" s="1" t="n">
        <v>44991</v>
      </c>
      <c r="C116" s="1" t="n">
        <v>46001</v>
      </c>
      <c r="D116" t="inlineStr">
        <is>
          <t>VÄSTMANLANDS LÄN</t>
        </is>
      </c>
      <c r="E116" t="inlineStr">
        <is>
          <t>SURAHAMMAR</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16013-2023</t>
        </is>
      </c>
      <c r="B117" s="1" t="n">
        <v>45026</v>
      </c>
      <c r="C117" s="1" t="n">
        <v>46001</v>
      </c>
      <c r="D117" t="inlineStr">
        <is>
          <t>VÄSTMANLANDS LÄN</t>
        </is>
      </c>
      <c r="E117" t="inlineStr">
        <is>
          <t>SURAHAMMAR</t>
        </is>
      </c>
      <c r="G117" t="n">
        <v>3.9</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46001</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37013-2025</t>
        </is>
      </c>
      <c r="B119" s="1" t="n">
        <v>45874</v>
      </c>
      <c r="C119" s="1" t="n">
        <v>46001</v>
      </c>
      <c r="D119" t="inlineStr">
        <is>
          <t>VÄSTMANLANDS LÄN</t>
        </is>
      </c>
      <c r="E119" t="inlineStr">
        <is>
          <t>SURAHAMMAR</t>
        </is>
      </c>
      <c r="F119" t="inlineStr">
        <is>
          <t>Bergvik skog väst AB</t>
        </is>
      </c>
      <c r="G119" t="n">
        <v>10.7</v>
      </c>
      <c r="H119" t="n">
        <v>0</v>
      </c>
      <c r="I119" t="n">
        <v>0</v>
      </c>
      <c r="J119" t="n">
        <v>0</v>
      </c>
      <c r="K119" t="n">
        <v>0</v>
      </c>
      <c r="L119" t="n">
        <v>0</v>
      </c>
      <c r="M119" t="n">
        <v>0</v>
      </c>
      <c r="N119" t="n">
        <v>0</v>
      </c>
      <c r="O119" t="n">
        <v>0</v>
      </c>
      <c r="P119" t="n">
        <v>0</v>
      </c>
      <c r="Q119" t="n">
        <v>0</v>
      </c>
      <c r="R119" s="2" t="inlineStr"/>
    </row>
    <row r="120" ht="15" customHeight="1">
      <c r="A120" t="inlineStr">
        <is>
          <t>A 42829-2022</t>
        </is>
      </c>
      <c r="B120" s="1" t="n">
        <v>44832</v>
      </c>
      <c r="C120" s="1" t="n">
        <v>46001</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56543-2025</t>
        </is>
      </c>
      <c r="B121" s="1" t="n">
        <v>45975</v>
      </c>
      <c r="C121" s="1" t="n">
        <v>46001</v>
      </c>
      <c r="D121" t="inlineStr">
        <is>
          <t>VÄSTMANLANDS LÄN</t>
        </is>
      </c>
      <c r="E121" t="inlineStr">
        <is>
          <t>SURAHAMMAR</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34955-2022</t>
        </is>
      </c>
      <c r="B122" s="1" t="n">
        <v>44796</v>
      </c>
      <c r="C122" s="1" t="n">
        <v>46001</v>
      </c>
      <c r="D122" t="inlineStr">
        <is>
          <t>VÄSTMANLANDS LÄN</t>
        </is>
      </c>
      <c r="E122" t="inlineStr">
        <is>
          <t>SURAHAMMAR</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46001</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46001</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48205-2023</t>
        </is>
      </c>
      <c r="B125" s="1" t="n">
        <v>45205</v>
      </c>
      <c r="C125" s="1" t="n">
        <v>46001</v>
      </c>
      <c r="D125" t="inlineStr">
        <is>
          <t>VÄSTMANLANDS LÄN</t>
        </is>
      </c>
      <c r="E125" t="inlineStr">
        <is>
          <t>SURAHAMMAR</t>
        </is>
      </c>
      <c r="F125" t="inlineStr">
        <is>
          <t>Allmännings- och besparingsskogar</t>
        </is>
      </c>
      <c r="G125" t="n">
        <v>7.6</v>
      </c>
      <c r="H125" t="n">
        <v>0</v>
      </c>
      <c r="I125" t="n">
        <v>0</v>
      </c>
      <c r="J125" t="n">
        <v>0</v>
      </c>
      <c r="K125" t="n">
        <v>0</v>
      </c>
      <c r="L125" t="n">
        <v>0</v>
      </c>
      <c r="M125" t="n">
        <v>0</v>
      </c>
      <c r="N125" t="n">
        <v>0</v>
      </c>
      <c r="O125" t="n">
        <v>0</v>
      </c>
      <c r="P125" t="n">
        <v>0</v>
      </c>
      <c r="Q125" t="n">
        <v>0</v>
      </c>
      <c r="R125" s="2" t="inlineStr"/>
    </row>
    <row r="126" ht="15" customHeight="1">
      <c r="A126" t="inlineStr">
        <is>
          <t>A 59399-2025</t>
        </is>
      </c>
      <c r="B126" s="1" t="n">
        <v>45989</v>
      </c>
      <c r="C126" s="1" t="n">
        <v>46001</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46001</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56541-2025</t>
        </is>
      </c>
      <c r="B128" s="1" t="n">
        <v>45975</v>
      </c>
      <c r="C128" s="1" t="n">
        <v>46001</v>
      </c>
      <c r="D128" t="inlineStr">
        <is>
          <t>VÄSTMANLANDS LÄN</t>
        </is>
      </c>
      <c r="E128" t="inlineStr">
        <is>
          <t>SURAHAMMAR</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46001</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30076-2023</t>
        </is>
      </c>
      <c r="B130" s="1" t="n">
        <v>45110</v>
      </c>
      <c r="C130" s="1" t="n">
        <v>46001</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47785-2021</t>
        </is>
      </c>
      <c r="B131" s="1" t="n">
        <v>44448</v>
      </c>
      <c r="C131" s="1" t="n">
        <v>46001</v>
      </c>
      <c r="D131" t="inlineStr">
        <is>
          <t>VÄSTMANLANDS LÄN</t>
        </is>
      </c>
      <c r="E131" t="inlineStr">
        <is>
          <t>SURAHAMMAR</t>
        </is>
      </c>
      <c r="F131" t="inlineStr">
        <is>
          <t>Kommuner</t>
        </is>
      </c>
      <c r="G131" t="n">
        <v>3.3</v>
      </c>
      <c r="H131" t="n">
        <v>0</v>
      </c>
      <c r="I131" t="n">
        <v>0</v>
      </c>
      <c r="J131" t="n">
        <v>0</v>
      </c>
      <c r="K131" t="n">
        <v>0</v>
      </c>
      <c r="L131" t="n">
        <v>0</v>
      </c>
      <c r="M131" t="n">
        <v>0</v>
      </c>
      <c r="N131" t="n">
        <v>0</v>
      </c>
      <c r="O131" t="n">
        <v>0</v>
      </c>
      <c r="P131" t="n">
        <v>0</v>
      </c>
      <c r="Q131" t="n">
        <v>0</v>
      </c>
      <c r="R131" s="2" t="inlineStr"/>
    </row>
    <row r="132" ht="15" customHeight="1">
      <c r="A132" t="inlineStr">
        <is>
          <t>A 25450-2024</t>
        </is>
      </c>
      <c r="B132" s="1" t="n">
        <v>45463</v>
      </c>
      <c r="C132" s="1" t="n">
        <v>46001</v>
      </c>
      <c r="D132" t="inlineStr">
        <is>
          <t>VÄSTMANLANDS LÄN</t>
        </is>
      </c>
      <c r="E132" t="inlineStr">
        <is>
          <t>SURAHAMMAR</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10883-2023</t>
        </is>
      </c>
      <c r="B133" s="1" t="n">
        <v>44991</v>
      </c>
      <c r="C133" s="1" t="n">
        <v>46001</v>
      </c>
      <c r="D133" t="inlineStr">
        <is>
          <t>VÄSTMANLANDS LÄN</t>
        </is>
      </c>
      <c r="E133" t="inlineStr">
        <is>
          <t>SURAHAMMAR</t>
        </is>
      </c>
      <c r="F133" t="inlineStr">
        <is>
          <t>Övriga Aktiebolag</t>
        </is>
      </c>
      <c r="G133" t="n">
        <v>12.5</v>
      </c>
      <c r="H133" t="n">
        <v>0</v>
      </c>
      <c r="I133" t="n">
        <v>0</v>
      </c>
      <c r="J133" t="n">
        <v>0</v>
      </c>
      <c r="K133" t="n">
        <v>0</v>
      </c>
      <c r="L133" t="n">
        <v>0</v>
      </c>
      <c r="M133" t="n">
        <v>0</v>
      </c>
      <c r="N133" t="n">
        <v>0</v>
      </c>
      <c r="O133" t="n">
        <v>0</v>
      </c>
      <c r="P133" t="n">
        <v>0</v>
      </c>
      <c r="Q133" t="n">
        <v>0</v>
      </c>
      <c r="R133" s="2" t="inlineStr"/>
    </row>
    <row r="134" ht="15" customHeight="1">
      <c r="A134" t="inlineStr">
        <is>
          <t>A 24665-2023</t>
        </is>
      </c>
      <c r="B134" s="1" t="n">
        <v>45084.48592592592</v>
      </c>
      <c r="C134" s="1" t="n">
        <v>46001</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24167-2024</t>
        </is>
      </c>
      <c r="B135" s="1" t="n">
        <v>45456</v>
      </c>
      <c r="C135" s="1" t="n">
        <v>46001</v>
      </c>
      <c r="D135" t="inlineStr">
        <is>
          <t>VÄSTMANLANDS LÄN</t>
        </is>
      </c>
      <c r="E135" t="inlineStr">
        <is>
          <t>SURAHAMMAR</t>
        </is>
      </c>
      <c r="G135" t="n">
        <v>0.6</v>
      </c>
      <c r="H135" t="n">
        <v>0</v>
      </c>
      <c r="I135" t="n">
        <v>0</v>
      </c>
      <c r="J135" t="n">
        <v>0</v>
      </c>
      <c r="K135" t="n">
        <v>0</v>
      </c>
      <c r="L135" t="n">
        <v>0</v>
      </c>
      <c r="M135" t="n">
        <v>0</v>
      </c>
      <c r="N135" t="n">
        <v>0</v>
      </c>
      <c r="O135" t="n">
        <v>0</v>
      </c>
      <c r="P135" t="n">
        <v>0</v>
      </c>
      <c r="Q135" t="n">
        <v>0</v>
      </c>
      <c r="R135" s="2" t="inlineStr"/>
    </row>
    <row r="136" ht="15" customHeight="1">
      <c r="A136" t="inlineStr">
        <is>
          <t>A 72367-2021</t>
        </is>
      </c>
      <c r="B136" s="1" t="n">
        <v>44545</v>
      </c>
      <c r="C136" s="1" t="n">
        <v>46001</v>
      </c>
      <c r="D136" t="inlineStr">
        <is>
          <t>VÄSTMANLANDS LÄN</t>
        </is>
      </c>
      <c r="E136" t="inlineStr">
        <is>
          <t>SURAHAMMAR</t>
        </is>
      </c>
      <c r="G136" t="n">
        <v>2.5</v>
      </c>
      <c r="H136" t="n">
        <v>0</v>
      </c>
      <c r="I136" t="n">
        <v>0</v>
      </c>
      <c r="J136" t="n">
        <v>0</v>
      </c>
      <c r="K136" t="n">
        <v>0</v>
      </c>
      <c r="L136" t="n">
        <v>0</v>
      </c>
      <c r="M136" t="n">
        <v>0</v>
      </c>
      <c r="N136" t="n">
        <v>0</v>
      </c>
      <c r="O136" t="n">
        <v>0</v>
      </c>
      <c r="P136" t="n">
        <v>0</v>
      </c>
      <c r="Q136" t="n">
        <v>0</v>
      </c>
      <c r="R136" s="2" t="inlineStr"/>
    </row>
    <row r="137" ht="15" customHeight="1">
      <c r="A137" t="inlineStr">
        <is>
          <t>A 42714-2022</t>
        </is>
      </c>
      <c r="B137" s="1" t="n">
        <v>44832</v>
      </c>
      <c r="C137" s="1" t="n">
        <v>46001</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37287-2023</t>
        </is>
      </c>
      <c r="B138" s="1" t="n">
        <v>45156</v>
      </c>
      <c r="C138" s="1" t="n">
        <v>46001</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49058-2024</t>
        </is>
      </c>
      <c r="B139" s="1" t="n">
        <v>45594</v>
      </c>
      <c r="C139" s="1" t="n">
        <v>46001</v>
      </c>
      <c r="D139" t="inlineStr">
        <is>
          <t>VÄSTMANLANDS LÄN</t>
        </is>
      </c>
      <c r="E139" t="inlineStr">
        <is>
          <t>SURAHAMMAR</t>
        </is>
      </c>
      <c r="F139" t="inlineStr">
        <is>
          <t>Sveaskog</t>
        </is>
      </c>
      <c r="G139" t="n">
        <v>11.4</v>
      </c>
      <c r="H139" t="n">
        <v>0</v>
      </c>
      <c r="I139" t="n">
        <v>0</v>
      </c>
      <c r="J139" t="n">
        <v>0</v>
      </c>
      <c r="K139" t="n">
        <v>0</v>
      </c>
      <c r="L139" t="n">
        <v>0</v>
      </c>
      <c r="M139" t="n">
        <v>0</v>
      </c>
      <c r="N139" t="n">
        <v>0</v>
      </c>
      <c r="O139" t="n">
        <v>0</v>
      </c>
      <c r="P139" t="n">
        <v>0</v>
      </c>
      <c r="Q139" t="n">
        <v>0</v>
      </c>
      <c r="R139" s="2" t="inlineStr"/>
    </row>
    <row r="140" ht="15" customHeight="1">
      <c r="A140" t="inlineStr">
        <is>
          <t>A 49060-2024</t>
        </is>
      </c>
      <c r="B140" s="1" t="n">
        <v>45594</v>
      </c>
      <c r="C140" s="1" t="n">
        <v>46001</v>
      </c>
      <c r="D140" t="inlineStr">
        <is>
          <t>VÄSTMANLANDS LÄN</t>
        </is>
      </c>
      <c r="E140" t="inlineStr">
        <is>
          <t>SURAHAMMAR</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19099-2022</t>
        </is>
      </c>
      <c r="B141" s="1" t="n">
        <v>44691</v>
      </c>
      <c r="C141" s="1" t="n">
        <v>46001</v>
      </c>
      <c r="D141" t="inlineStr">
        <is>
          <t>VÄSTMANLANDS LÄN</t>
        </is>
      </c>
      <c r="E141" t="inlineStr">
        <is>
          <t>SURAHAMMAR</t>
        </is>
      </c>
      <c r="F141" t="inlineStr">
        <is>
          <t>Övriga Aktiebolag</t>
        </is>
      </c>
      <c r="G141" t="n">
        <v>3.4</v>
      </c>
      <c r="H141" t="n">
        <v>0</v>
      </c>
      <c r="I141" t="n">
        <v>0</v>
      </c>
      <c r="J141" t="n">
        <v>0</v>
      </c>
      <c r="K141" t="n">
        <v>0</v>
      </c>
      <c r="L141" t="n">
        <v>0</v>
      </c>
      <c r="M141" t="n">
        <v>0</v>
      </c>
      <c r="N141" t="n">
        <v>0</v>
      </c>
      <c r="O141" t="n">
        <v>0</v>
      </c>
      <c r="P141" t="n">
        <v>0</v>
      </c>
      <c r="Q141" t="n">
        <v>0</v>
      </c>
      <c r="R141" s="2" t="inlineStr"/>
    </row>
    <row r="142" ht="15" customHeight="1">
      <c r="A142" t="inlineStr">
        <is>
          <t>A 25780-2023</t>
        </is>
      </c>
      <c r="B142" s="1" t="n">
        <v>45090.47523148148</v>
      </c>
      <c r="C142" s="1" t="n">
        <v>46001</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row r="143" ht="15" customHeight="1">
      <c r="A143" t="inlineStr">
        <is>
          <t>A 13386-2025</t>
        </is>
      </c>
      <c r="B143" s="1" t="n">
        <v>45735</v>
      </c>
      <c r="C143" s="1" t="n">
        <v>46001</v>
      </c>
      <c r="D143" t="inlineStr">
        <is>
          <t>VÄSTMANLANDS LÄN</t>
        </is>
      </c>
      <c r="E143" t="inlineStr">
        <is>
          <t>SURAHAMMAR</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35682-2022</t>
        </is>
      </c>
      <c r="B144" s="1" t="n">
        <v>44799.60422453703</v>
      </c>
      <c r="C144" s="1" t="n">
        <v>46001</v>
      </c>
      <c r="D144" t="inlineStr">
        <is>
          <t>VÄSTMANLANDS LÄN</t>
        </is>
      </c>
      <c r="E144" t="inlineStr">
        <is>
          <t>SURAHAMMAR</t>
        </is>
      </c>
      <c r="F144" t="inlineStr">
        <is>
          <t>Sveaskog</t>
        </is>
      </c>
      <c r="G144" t="n">
        <v>1.5</v>
      </c>
      <c r="H144" t="n">
        <v>0</v>
      </c>
      <c r="I144" t="n">
        <v>0</v>
      </c>
      <c r="J144" t="n">
        <v>0</v>
      </c>
      <c r="K144" t="n">
        <v>0</v>
      </c>
      <c r="L144" t="n">
        <v>0</v>
      </c>
      <c r="M144" t="n">
        <v>0</v>
      </c>
      <c r="N144" t="n">
        <v>0</v>
      </c>
      <c r="O144" t="n">
        <v>0</v>
      </c>
      <c r="P144" t="n">
        <v>0</v>
      </c>
      <c r="Q144" t="n">
        <v>0</v>
      </c>
      <c r="R144" s="2" t="inlineStr"/>
    </row>
    <row r="145" ht="15" customHeight="1">
      <c r="A145" t="inlineStr">
        <is>
          <t>A 2867-2024</t>
        </is>
      </c>
      <c r="B145" s="1" t="n">
        <v>45315</v>
      </c>
      <c r="C145" s="1" t="n">
        <v>46001</v>
      </c>
      <c r="D145" t="inlineStr">
        <is>
          <t>VÄSTMANLANDS LÄN</t>
        </is>
      </c>
      <c r="E145" t="inlineStr">
        <is>
          <t>SURAHAMMAR</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2660-2024</t>
        </is>
      </c>
      <c r="B146" s="1" t="n">
        <v>45310</v>
      </c>
      <c r="C146" s="1" t="n">
        <v>46001</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41555-2022</t>
        </is>
      </c>
      <c r="B147" s="1" t="n">
        <v>44826</v>
      </c>
      <c r="C147" s="1" t="n">
        <v>46001</v>
      </c>
      <c r="D147" t="inlineStr">
        <is>
          <t>VÄSTMANLANDS LÄN</t>
        </is>
      </c>
      <c r="E147" t="inlineStr">
        <is>
          <t>SURAHAMMAR</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5567-2022</t>
        </is>
      </c>
      <c r="B148" s="1" t="n">
        <v>44595</v>
      </c>
      <c r="C148" s="1" t="n">
        <v>46001</v>
      </c>
      <c r="D148" t="inlineStr">
        <is>
          <t>VÄSTMANLANDS LÄN</t>
        </is>
      </c>
      <c r="E148" t="inlineStr">
        <is>
          <t>SURAHAMMAR</t>
        </is>
      </c>
      <c r="G148" t="n">
        <v>1.3</v>
      </c>
      <c r="H148" t="n">
        <v>0</v>
      </c>
      <c r="I148" t="n">
        <v>0</v>
      </c>
      <c r="J148" t="n">
        <v>0</v>
      </c>
      <c r="K148" t="n">
        <v>0</v>
      </c>
      <c r="L148" t="n">
        <v>0</v>
      </c>
      <c r="M148" t="n">
        <v>0</v>
      </c>
      <c r="N148" t="n">
        <v>0</v>
      </c>
      <c r="O148" t="n">
        <v>0</v>
      </c>
      <c r="P148" t="n">
        <v>0</v>
      </c>
      <c r="Q148" t="n">
        <v>0</v>
      </c>
      <c r="R148" s="2" t="inlineStr"/>
    </row>
    <row r="149" ht="15" customHeight="1">
      <c r="A149" t="inlineStr">
        <is>
          <t>A 41576-2022</t>
        </is>
      </c>
      <c r="B149" s="1" t="n">
        <v>44826</v>
      </c>
      <c r="C149" s="1" t="n">
        <v>46001</v>
      </c>
      <c r="D149" t="inlineStr">
        <is>
          <t>VÄSTMANLANDS LÄN</t>
        </is>
      </c>
      <c r="E149" t="inlineStr">
        <is>
          <t>SURAHAMMAR</t>
        </is>
      </c>
      <c r="F149" t="inlineStr">
        <is>
          <t>Bergvik skog väst AB</t>
        </is>
      </c>
      <c r="G149" t="n">
        <v>6.4</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46001</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46001</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46001</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15743-2023</t>
        </is>
      </c>
      <c r="B153" s="1" t="n">
        <v>45021</v>
      </c>
      <c r="C153" s="1" t="n">
        <v>46001</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15637-2022</t>
        </is>
      </c>
      <c r="B154" s="1" t="n">
        <v>44662.89638888889</v>
      </c>
      <c r="C154" s="1" t="n">
        <v>46001</v>
      </c>
      <c r="D154" t="inlineStr">
        <is>
          <t>VÄSTMANLANDS LÄN</t>
        </is>
      </c>
      <c r="E154" t="inlineStr">
        <is>
          <t>SURAHAMMAR</t>
        </is>
      </c>
      <c r="G154" t="n">
        <v>2.2</v>
      </c>
      <c r="H154" t="n">
        <v>0</v>
      </c>
      <c r="I154" t="n">
        <v>0</v>
      </c>
      <c r="J154" t="n">
        <v>0</v>
      </c>
      <c r="K154" t="n">
        <v>0</v>
      </c>
      <c r="L154" t="n">
        <v>0</v>
      </c>
      <c r="M154" t="n">
        <v>0</v>
      </c>
      <c r="N154" t="n">
        <v>0</v>
      </c>
      <c r="O154" t="n">
        <v>0</v>
      </c>
      <c r="P154" t="n">
        <v>0</v>
      </c>
      <c r="Q154" t="n">
        <v>0</v>
      </c>
      <c r="R154" s="2" t="inlineStr"/>
    </row>
    <row r="155" ht="15" customHeight="1">
      <c r="A155" t="inlineStr">
        <is>
          <t>A 19786-2023</t>
        </is>
      </c>
      <c r="B155" s="1" t="n">
        <v>45050</v>
      </c>
      <c r="C155" s="1" t="n">
        <v>46001</v>
      </c>
      <c r="D155" t="inlineStr">
        <is>
          <t>VÄSTMANLANDS LÄN</t>
        </is>
      </c>
      <c r="E155" t="inlineStr">
        <is>
          <t>SURAHAMMAR</t>
        </is>
      </c>
      <c r="F155" t="inlineStr">
        <is>
          <t>Bergvik skog väst AB</t>
        </is>
      </c>
      <c r="G155" t="n">
        <v>8.1</v>
      </c>
      <c r="H155" t="n">
        <v>0</v>
      </c>
      <c r="I155" t="n">
        <v>0</v>
      </c>
      <c r="J155" t="n">
        <v>0</v>
      </c>
      <c r="K155" t="n">
        <v>0</v>
      </c>
      <c r="L155" t="n">
        <v>0</v>
      </c>
      <c r="M155" t="n">
        <v>0</v>
      </c>
      <c r="N155" t="n">
        <v>0</v>
      </c>
      <c r="O155" t="n">
        <v>0</v>
      </c>
      <c r="P155" t="n">
        <v>0</v>
      </c>
      <c r="Q155" t="n">
        <v>0</v>
      </c>
      <c r="R155" s="2" t="inlineStr"/>
    </row>
    <row r="156">
      <c r="A156" t="inlineStr">
        <is>
          <t>A 7787-2024</t>
        </is>
      </c>
      <c r="B156" s="1" t="n">
        <v>45348</v>
      </c>
      <c r="C156" s="1" t="n">
        <v>46001</v>
      </c>
      <c r="D156" t="inlineStr">
        <is>
          <t>VÄSTMANLANDS LÄN</t>
        </is>
      </c>
      <c r="E156" t="inlineStr">
        <is>
          <t>SURAHAMMAR</t>
        </is>
      </c>
      <c r="G156" t="n">
        <v>1</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2025-12-10T10:25:28Z</dcterms:created>
  <dcterms:modified xmlns:dcterms="http://purl.org/dc/terms/" xmlns:xsi="http://www.w3.org/2001/XMLSchema-instance" xsi:type="dcterms:W3CDTF">2025-12-10T10:25:28Z</dcterms:modified>
</cp:coreProperties>
</file>