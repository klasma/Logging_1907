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46258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46258</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46258</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46258</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46258</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46258</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46258</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46258</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46258</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46258</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46258</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46258</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46258</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46258</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46258</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48891-2023</t>
        </is>
      </c>
      <c r="B26" t="inlineStr">
        <is>
          <t>avverkningsanmälan</t>
        </is>
      </c>
      <c r="C26" t="inlineStr">
        <is>
          <t>Föryngringsavverkning</t>
        </is>
      </c>
      <c r="D26" s="1" t="n">
        <v>45203</v>
      </c>
      <c r="E26" s="1" t="n">
        <v>46258</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56299-2021</t>
        </is>
      </c>
      <c r="B27" t="inlineStr">
        <is>
          <t>avverkningsanmälan</t>
        </is>
      </c>
      <c r="C27" t="inlineStr">
        <is>
          <t>Föryngringsavverkning</t>
        </is>
      </c>
      <c r="D27" s="1" t="n">
        <v>44477</v>
      </c>
      <c r="E27" s="1" t="n">
        <v>46258</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22840-2023</t>
        </is>
      </c>
      <c r="B28" t="inlineStr">
        <is>
          <t>avverkningsanmälan</t>
        </is>
      </c>
      <c r="C28" t="inlineStr">
        <is>
          <t>Föryngringsavverkning</t>
        </is>
      </c>
      <c r="D28" s="1" t="n">
        <v>45072</v>
      </c>
      <c r="E28" s="1" t="n">
        <v>46258</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46258</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46258</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46258</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46258</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46258</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46258</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46258</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46258</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46258</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46258</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46258</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46258</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46258</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46258</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63146-2025</t>
        </is>
      </c>
      <c r="B43" t="inlineStr">
        <is>
          <t>avverkningsanmälan</t>
        </is>
      </c>
      <c r="C43" t="inlineStr">
        <is>
          <t>Föryngringsavverkning</t>
        </is>
      </c>
      <c r="D43" s="1" t="n">
        <v>46009</v>
      </c>
      <c r="E43" s="1" t="n">
        <v>46258</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49718-2023</t>
        </is>
      </c>
      <c r="B44" t="inlineStr">
        <is>
          <t>avverkningsanmälan</t>
        </is>
      </c>
      <c r="C44" t="inlineStr">
        <is>
          <t>Föryngringsavverkning</t>
        </is>
      </c>
      <c r="D44" s="1" t="n">
        <v>45212</v>
      </c>
      <c r="E44" s="1" t="n">
        <v>46258</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46258</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32443-2026</t>
        </is>
      </c>
      <c r="B46" t="inlineStr">
        <is>
          <t>avverkningsanmälan</t>
        </is>
      </c>
      <c r="C46" t="inlineStr">
        <is>
          <t>Föryngringsavverkning</t>
        </is>
      </c>
      <c r="D46" s="1" t="n">
        <v>46239</v>
      </c>
      <c r="E46" s="1" t="n">
        <v>46258</v>
      </c>
      <c r="F46" t="inlineStr">
        <is>
          <t>VÄSTMANLANDS LÄN</t>
        </is>
      </c>
      <c r="G46" t="inlineStr">
        <is>
          <t>SURAHAMMAR</t>
        </is>
      </c>
      <c r="H46" t="inlineStr">
        <is>
          <t>Allmännings- och besparingsskogar</t>
        </is>
      </c>
      <c r="I46" t="n">
        <v>9.5</v>
      </c>
      <c r="J46" t="n">
        <v>0</v>
      </c>
      <c r="K46" t="n">
        <v>0</v>
      </c>
      <c r="L46" t="n">
        <v>3</v>
      </c>
      <c r="M46" t="n">
        <v>0</v>
      </c>
      <c r="N46" t="n">
        <v>0</v>
      </c>
      <c r="O46" t="n">
        <v>0</v>
      </c>
      <c r="P46" t="n">
        <v>0</v>
      </c>
      <c r="Q46" t="n">
        <v>3</v>
      </c>
      <c r="R46" t="n">
        <v>0</v>
      </c>
      <c r="S46" t="n">
        <v>3</v>
      </c>
      <c r="T46" t="n">
        <v>5</v>
      </c>
      <c r="U46" t="n">
        <v>0</v>
      </c>
      <c r="V46" s="2" t="inlineStr">
        <is>
          <t>Motaggsvamp
Tallticka
Ullticka</t>
        </is>
      </c>
      <c r="W46">
        <f>HYPERLINK("https://klasma.github.io/Logging_1907/artfynd/A 32443-2026 artfynd.xlsx", "A 32443-2026")</f>
        <v/>
      </c>
      <c r="X46">
        <f>HYPERLINK("https://klasma.github.io/Logging_1907/kartor/A 32443-2026 karta.png", "A 32443-2026")</f>
        <v/>
      </c>
      <c r="Y46">
        <f>HYPERLINK("https://klasma.github.io/Logging_1907/kartor_geotiff/A 32443-2026 georefererad karta.tif", "A 32443-2026")</f>
        <v/>
      </c>
      <c r="AA46">
        <f>HYPERLINK("https://klasma.github.io/Logging_1907/klagomål/A 32443-2026 FSC-klagomål.docx", "A 32443-2026")</f>
        <v/>
      </c>
      <c r="AB46">
        <f>HYPERLINK("https://klasma.github.io/Logging_1907/klagomålsmail/A 32443-2026 FSC-klagomål mail.docx", "A 32443-2026")</f>
        <v/>
      </c>
      <c r="AC46">
        <f>HYPERLINK("https://klasma.github.io/Logging_1907/tillsyn/A 32443-2026 tillsynsbegäran.docx", "A 32443-2026")</f>
        <v/>
      </c>
      <c r="AD46">
        <f>HYPERLINK("https://klasma.github.io/Logging_1907/tillsynsmail/A 32443-2026 tillsynsbegäran mail.docx", "A 32443-2026")</f>
        <v/>
      </c>
    </row>
    <row r="47" ht="15" customHeight="1">
      <c r="A47" t="inlineStr">
        <is>
          <t>A 33935-2026</t>
        </is>
      </c>
      <c r="B47" t="inlineStr">
        <is>
          <t>avverkningsanmälan</t>
        </is>
      </c>
      <c r="C47" t="inlineStr">
        <is>
          <t>Föryngringsavverkning</t>
        </is>
      </c>
      <c r="D47" s="1" t="n">
        <v>46248</v>
      </c>
      <c r="E47" s="1" t="n">
        <v>46258</v>
      </c>
      <c r="F47" t="inlineStr">
        <is>
          <t>VÄSTMANLANDS LÄN</t>
        </is>
      </c>
      <c r="G47" t="inlineStr">
        <is>
          <t>SURAHAMMAR</t>
        </is>
      </c>
      <c r="H47" t="inlineStr">
        <is>
          <t>Bergvik skog väst AB</t>
        </is>
      </c>
      <c r="I47" t="n">
        <v>2.6</v>
      </c>
      <c r="J47" t="n">
        <v>2</v>
      </c>
      <c r="K47" t="n">
        <v>1</v>
      </c>
      <c r="L47" t="n">
        <v>1</v>
      </c>
      <c r="M47" t="n">
        <v>0</v>
      </c>
      <c r="N47" t="n">
        <v>0</v>
      </c>
      <c r="O47" t="n">
        <v>0</v>
      </c>
      <c r="P47" t="n">
        <v>0</v>
      </c>
      <c r="Q47" t="n">
        <v>1</v>
      </c>
      <c r="R47" t="n">
        <v>0</v>
      </c>
      <c r="S47" t="n">
        <v>3</v>
      </c>
      <c r="T47" t="n">
        <v>5</v>
      </c>
      <c r="U47" t="n">
        <v>0</v>
      </c>
      <c r="V47" s="2" t="inlineStr">
        <is>
          <t>Talltita
Mindre märgborre
Spillkråka</t>
        </is>
      </c>
      <c r="W47">
        <f>HYPERLINK("https://klasma.github.io/Logging_1907/artfynd/A 33935-2026 artfynd.xlsx", "A 33935-2026")</f>
        <v/>
      </c>
      <c r="X47">
        <f>HYPERLINK("https://klasma.github.io/Logging_1907/kartor/A 33935-2026 karta.png", "A 33935-2026")</f>
        <v/>
      </c>
      <c r="Y47">
        <f>HYPERLINK("https://klasma.github.io/Logging_1907/kartor_geotiff/A 33935-2026 georefererad karta.tif", "A 33935-2026")</f>
        <v/>
      </c>
      <c r="AA47">
        <f>HYPERLINK("https://klasma.github.io/Logging_1907/klagomål/A 33935-2026 FSC-klagomål.docx", "A 33935-2026")</f>
        <v/>
      </c>
      <c r="AB47">
        <f>HYPERLINK("https://klasma.github.io/Logging_1907/klagomålsmail/A 33935-2026 FSC-klagomål mail.docx", "A 33935-2026")</f>
        <v/>
      </c>
      <c r="AC47">
        <f>HYPERLINK("https://klasma.github.io/Logging_1907/tillsyn/A 33935-2026 tillsynsbegäran.docx", "A 33935-2026")</f>
        <v/>
      </c>
      <c r="AD47">
        <f>HYPERLINK("https://klasma.github.io/Logging_1907/tillsynsmail/A 33935-2026 tillsynsbegäran mail.docx", "A 33935-2026")</f>
        <v/>
      </c>
      <c r="AE47">
        <f>HYPERLINK("https://klasma.github.io/Logging_1907/fåglar/A 33935-2026 prioriterade fågelarter.docx", "A 33935-2026")</f>
        <v/>
      </c>
    </row>
    <row r="48" ht="15" customHeight="1">
      <c r="A48" t="inlineStr">
        <is>
          <t>A 4082-2025</t>
        </is>
      </c>
      <c r="B48" t="inlineStr">
        <is>
          <t>avverkningsanmälan</t>
        </is>
      </c>
      <c r="C48" t="inlineStr">
        <is>
          <t>Föryngringsavverkning</t>
        </is>
      </c>
      <c r="D48" s="1" t="n">
        <v>45684</v>
      </c>
      <c r="E48" s="1" t="n">
        <v>46258</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46258</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S 1450-2022</t>
        </is>
      </c>
      <c r="B50" t="inlineStr">
        <is>
          <t>samrådsanmälan</t>
        </is>
      </c>
      <c r="C50" t="inlineStr">
        <is>
          <t>Skogsgödsling</t>
        </is>
      </c>
      <c r="D50" s="1" t="n">
        <v>44635</v>
      </c>
      <c r="E50" s="1" t="n">
        <v>46258</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46258</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46258</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13788-2025</t>
        </is>
      </c>
      <c r="B53" t="inlineStr">
        <is>
          <t>avverkningsanmälan</t>
        </is>
      </c>
      <c r="C53" t="inlineStr">
        <is>
          <t>Föryngringsavverkning</t>
        </is>
      </c>
      <c r="D53" s="1" t="n">
        <v>45737</v>
      </c>
      <c r="E53" s="1" t="n">
        <v>46258</v>
      </c>
      <c r="F53" t="inlineStr">
        <is>
          <t>VÄSTMANLANDS LÄN</t>
        </is>
      </c>
      <c r="G53" t="inlineStr">
        <is>
          <t>SURAHAMMAR</t>
        </is>
      </c>
      <c r="I53" t="n">
        <v>9.699999999999999</v>
      </c>
      <c r="J53" t="n">
        <v>2</v>
      </c>
      <c r="K53" t="n">
        <v>0</v>
      </c>
      <c r="L53" t="n">
        <v>1</v>
      </c>
      <c r="M53" t="n">
        <v>0</v>
      </c>
      <c r="N53" t="n">
        <v>0</v>
      </c>
      <c r="O53" t="n">
        <v>0</v>
      </c>
      <c r="P53" t="n">
        <v>0</v>
      </c>
      <c r="Q53" t="n">
        <v>1</v>
      </c>
      <c r="R53" t="n">
        <v>0</v>
      </c>
      <c r="S53" t="n">
        <v>2</v>
      </c>
      <c r="T53" t="n">
        <v>2</v>
      </c>
      <c r="U53" t="n">
        <v>2</v>
      </c>
      <c r="V53" s="2" t="inlineStr">
        <is>
          <t>Sparvuggla
Nattskärra</t>
        </is>
      </c>
      <c r="W53">
        <f>HYPERLINK("https://klasma.github.io/Logging_1907/artfynd/A 13788-2025 artfynd.xlsx", "A 13788-2025")</f>
        <v/>
      </c>
      <c r="X53">
        <f>HYPERLINK("https://klasma.github.io/Logging_1907/kartor/A 13788-2025 karta.png", "A 13788-2025")</f>
        <v/>
      </c>
      <c r="Y53">
        <f>HYPERLINK("https://klasma.github.io/Logging_1907/kartor_geotiff/A 13788-2025 georefererad karta.tif", "A 13788-2025")</f>
        <v/>
      </c>
      <c r="AA53">
        <f>HYPERLINK("https://klasma.github.io/Logging_1907/klagomål/A 13788-2025 FSC-klagomål.docx", "A 13788-2025")</f>
        <v/>
      </c>
      <c r="AB53">
        <f>HYPERLINK("https://klasma.github.io/Logging_1907/klagomålsmail/A 13788-2025 FSC-klagomål mail.docx", "A 13788-2025")</f>
        <v/>
      </c>
      <c r="AC53">
        <f>HYPERLINK("https://klasma.github.io/Logging_1907/tillsyn/A 13788-2025 tillsynsbegäran.docx", "A 13788-2025")</f>
        <v/>
      </c>
      <c r="AD53">
        <f>HYPERLINK("https://klasma.github.io/Logging_1907/tillsynsmail/A 13788-2025 tillsynsbegäran mail.docx", "A 13788-2025")</f>
        <v/>
      </c>
      <c r="AE53">
        <f>HYPERLINK("https://klasma.github.io/Logging_1907/fåglar/A 13788-2025 prioriterade fågelarter.docx", "A 13788-2025")</f>
        <v/>
      </c>
    </row>
    <row r="54" ht="15" customHeight="1">
      <c r="A54" t="inlineStr">
        <is>
          <t>A 40403-2025</t>
        </is>
      </c>
      <c r="B54" t="inlineStr">
        <is>
          <t>avverkningsanmälan</t>
        </is>
      </c>
      <c r="C54" t="inlineStr">
        <is>
          <t>Föryngringsavverkning</t>
        </is>
      </c>
      <c r="D54" s="1" t="n">
        <v>45895</v>
      </c>
      <c r="E54" s="1" t="n">
        <v>46258</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30074-2023</t>
        </is>
      </c>
      <c r="B55" t="inlineStr">
        <is>
          <t>avverkningsanmälan</t>
        </is>
      </c>
      <c r="C55" t="inlineStr">
        <is>
          <t>Föryngringsavverkning</t>
        </is>
      </c>
      <c r="D55" s="1" t="n">
        <v>45110</v>
      </c>
      <c r="E55" s="1" t="n">
        <v>46258</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46258</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46258</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63138-2025</t>
        </is>
      </c>
      <c r="B58" t="inlineStr">
        <is>
          <t>avverkningsanmälan</t>
        </is>
      </c>
      <c r="C58" t="inlineStr">
        <is>
          <t>Föryngringsavverkning</t>
        </is>
      </c>
      <c r="D58" s="1" t="n">
        <v>46009</v>
      </c>
      <c r="E58" s="1" t="n">
        <v>46258</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41204-2023</t>
        </is>
      </c>
      <c r="B59" t="inlineStr">
        <is>
          <t>avverkningsanmälan</t>
        </is>
      </c>
      <c r="C59" t="inlineStr">
        <is>
          <t>Föryngringsavverkning</t>
        </is>
      </c>
      <c r="D59" s="1" t="n">
        <v>45174</v>
      </c>
      <c r="E59" s="1" t="n">
        <v>46258</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37013-2025</t>
        </is>
      </c>
      <c r="B60" t="inlineStr">
        <is>
          <t>avverkningsanmälan</t>
        </is>
      </c>
      <c r="C60" t="inlineStr">
        <is>
          <t>Föryngringsavverkning</t>
        </is>
      </c>
      <c r="D60" s="1" t="n">
        <v>45874</v>
      </c>
      <c r="E60" s="1" t="n">
        <v>46258</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46258</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46258</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46258</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46258</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46258</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46258</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46258</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46258</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30076-2023</t>
        </is>
      </c>
      <c r="B69" t="inlineStr">
        <is>
          <t>avverkningsanmälan</t>
        </is>
      </c>
      <c r="C69" t="inlineStr">
        <is>
          <t>Föryngringsavverkning</t>
        </is>
      </c>
      <c r="D69" s="1" t="n">
        <v>45110</v>
      </c>
      <c r="E69" s="1" t="n">
        <v>46258</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8553-2023</t>
        </is>
      </c>
      <c r="B70" t="inlineStr">
        <is>
          <t>avverkningsanmälan</t>
        </is>
      </c>
      <c r="C70" t="inlineStr">
        <is>
          <t>Avverkning för att bevara och utveckla /försöksver</t>
        </is>
      </c>
      <c r="D70" s="1" t="n">
        <v>44977</v>
      </c>
      <c r="E70" s="1" t="n">
        <v>46258</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17632-2022</t>
        </is>
      </c>
      <c r="B71" t="inlineStr">
        <is>
          <t>avverkningsanmälan</t>
        </is>
      </c>
      <c r="C71" t="inlineStr">
        <is>
          <t>Föryngringsavverkning</t>
        </is>
      </c>
      <c r="D71" s="1" t="n">
        <v>44680</v>
      </c>
      <c r="E71" s="1" t="n">
        <v>46258</v>
      </c>
      <c r="F71" t="inlineStr">
        <is>
          <t>VÄSTMANLANDS LÄN</t>
        </is>
      </c>
      <c r="G71" t="inlineStr">
        <is>
          <t>SURAHAMMAR</t>
        </is>
      </c>
      <c r="I71" t="n">
        <v>5.2</v>
      </c>
      <c r="J71" t="n">
        <v>0</v>
      </c>
      <c r="K71" t="n">
        <v>1</v>
      </c>
      <c r="L71" t="n">
        <v>0</v>
      </c>
      <c r="M71" t="n">
        <v>0</v>
      </c>
      <c r="N71" t="n">
        <v>0</v>
      </c>
      <c r="O71" t="n">
        <v>0</v>
      </c>
      <c r="P71" t="n">
        <v>0</v>
      </c>
      <c r="Q71" t="n">
        <v>0</v>
      </c>
      <c r="R71" t="n">
        <v>0</v>
      </c>
      <c r="S71" t="n">
        <v>1</v>
      </c>
      <c r="T71" t="n">
        <v>1</v>
      </c>
      <c r="U71" t="n">
        <v>0</v>
      </c>
      <c r="V71" s="2" t="inlineStr">
        <is>
          <t>Blodticka</t>
        </is>
      </c>
      <c r="W71">
        <f>HYPERLINK("https://klasma.github.io/Logging_1907/artfynd/A 17632-2022 artfynd.xlsx", "A 17632-2022")</f>
        <v/>
      </c>
      <c r="X71">
        <f>HYPERLINK("https://klasma.github.io/Logging_1907/kartor/A 17632-2022 karta.png", "A 17632-2022")</f>
        <v/>
      </c>
      <c r="Y71">
        <f>HYPERLINK("https://klasma.github.io/Logging_1907/kartor_geotiff/A 17632-2022 georefererad karta.tif", "A 17632-2022")</f>
        <v/>
      </c>
      <c r="AA71">
        <f>HYPERLINK("https://klasma.github.io/Logging_1907/klagomål/A 17632-2022 FSC-klagomål.docx", "A 17632-2022")</f>
        <v/>
      </c>
      <c r="AB71">
        <f>HYPERLINK("https://klasma.github.io/Logging_1907/klagomålsmail/A 17632-2022 FSC-klagomål mail.docx", "A 17632-2022")</f>
        <v/>
      </c>
      <c r="AC71">
        <f>HYPERLINK("https://klasma.github.io/Logging_1907/tillsyn/A 17632-2022 tillsynsbegäran.docx", "A 17632-2022")</f>
        <v/>
      </c>
      <c r="AD71">
        <f>HYPERLINK("https://klasma.github.io/Logging_1907/tillsynsmail/A 17632-2022 tillsynsbegäran mail.docx", "A 17632-2022")</f>
        <v/>
      </c>
    </row>
    <row r="72" ht="15" customHeight="1">
      <c r="A72" t="inlineStr">
        <is>
          <t>A 34955-2022</t>
        </is>
      </c>
      <c r="B72" t="inlineStr">
        <is>
          <t>avverkningsanmälan</t>
        </is>
      </c>
      <c r="C72" t="inlineStr">
        <is>
          <t>Föryngringsavverkning</t>
        </is>
      </c>
      <c r="D72" s="1" t="n">
        <v>44796</v>
      </c>
      <c r="E72" s="1" t="n">
        <v>46258</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10883-2023</t>
        </is>
      </c>
      <c r="B73" t="inlineStr">
        <is>
          <t>avverkningsanmälan</t>
        </is>
      </c>
      <c r="C73" t="inlineStr">
        <is>
          <t>Föryngringsavverkning</t>
        </is>
      </c>
      <c r="D73" s="1" t="n">
        <v>44991</v>
      </c>
      <c r="E73" s="1" t="n">
        <v>46258</v>
      </c>
      <c r="F73" t="inlineStr">
        <is>
          <t>VÄSTMANLANDS LÄN</t>
        </is>
      </c>
      <c r="G73" t="inlineStr">
        <is>
          <t>SURAHAMMAR</t>
        </is>
      </c>
      <c r="H73" t="inlineStr">
        <is>
          <t>Övriga Aktiebolag</t>
        </is>
      </c>
      <c r="I73" t="n">
        <v>12.5</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HYPERLINK("https://klasma.github.io/Logging_1907/artfynd/A 10883-2023 artfynd.xlsx", "A 10883-2023")</f>
        <v/>
      </c>
      <c r="X73">
        <f>HYPERLINK("https://klasma.github.io/Logging_1907/kartor/A 10883-2023 karta.png", "A 10883-2023")</f>
        <v/>
      </c>
      <c r="Y73">
        <f>HYPERLINK("https://klasma.github.io/Logging_1907/kartor_geotiff/A 10883-2023 georefererad karta.tif", "A 10883-2023")</f>
        <v/>
      </c>
      <c r="AA73">
        <f>HYPERLINK("https://klasma.github.io/Logging_1907/klagomål/A 10883-2023 FSC-klagomål.docx", "A 10883-2023")</f>
        <v/>
      </c>
      <c r="AB73">
        <f>HYPERLINK("https://klasma.github.io/Logging_1907/klagomålsmail/A 10883-2023 FSC-klagomål mail.docx", "A 10883-2023")</f>
        <v/>
      </c>
      <c r="AC73">
        <f>HYPERLINK("https://klasma.github.io/Logging_1907/tillsyn/A 10883-2023 tillsynsbegäran.docx", "A 10883-2023")</f>
        <v/>
      </c>
      <c r="AD73">
        <f>HYPERLINK("https://klasma.github.io/Logging_1907/tillsynsmail/A 10883-2023 tillsynsbegäran mail.docx", "A 10883-2023")</f>
        <v/>
      </c>
      <c r="AE73">
        <f>HYPERLINK("https://klasma.github.io/Logging_1907/fåglar/A 10883-2023 prioriterade fågelarter.docx", "A 10883-2023")</f>
        <v/>
      </c>
    </row>
    <row r="74" ht="15" customHeight="1">
      <c r="A74" t="inlineStr">
        <is>
          <t>A 34584-2025</t>
        </is>
      </c>
      <c r="B74" t="inlineStr">
        <is>
          <t>avverkningsanmälan</t>
        </is>
      </c>
      <c r="C74" t="inlineStr">
        <is>
          <t>Föryngringsavverkning</t>
        </is>
      </c>
      <c r="D74" s="1" t="n">
        <v>45846</v>
      </c>
      <c r="E74" s="1" t="n">
        <v>46258</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37287-2023</t>
        </is>
      </c>
      <c r="B75" t="inlineStr">
        <is>
          <t>avverkningsanmälan</t>
        </is>
      </c>
      <c r="C75" t="inlineStr">
        <is>
          <t>Föryngringsavverkning</t>
        </is>
      </c>
      <c r="D75" s="1" t="n">
        <v>45156</v>
      </c>
      <c r="E75" s="1" t="n">
        <v>46258</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44356-2024</t>
        </is>
      </c>
      <c r="B76" t="inlineStr">
        <is>
          <t>avverkningsanmälan</t>
        </is>
      </c>
      <c r="C76" t="inlineStr">
        <is>
          <t>Föryngringsavverkning</t>
        </is>
      </c>
      <c r="D76" s="1" t="n">
        <v>45573</v>
      </c>
      <c r="E76" s="1" t="n">
        <v>46258</v>
      </c>
      <c r="F76" t="inlineStr">
        <is>
          <t>VÄSTMANLANDS LÄN</t>
        </is>
      </c>
      <c r="G76" t="inlineStr">
        <is>
          <t>SURAHAMMAR</t>
        </is>
      </c>
      <c r="H76" t="inlineStr">
        <is>
          <t>Sveaskog</t>
        </is>
      </c>
      <c r="I76" t="n">
        <v>0.7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HYPERLINK("https://klasma.github.io/Logging_1907/artfynd/A 44356-2024 artfynd.xlsx", "A 44356-2024")</f>
        <v/>
      </c>
      <c r="X76">
        <f>HYPERLINK("https://klasma.github.io/Logging_1907/kartor/A 44356-2024 karta.png", "A 44356-2024")</f>
        <v/>
      </c>
      <c r="Y76">
        <f>HYPERLINK("https://klasma.github.io/Logging_1907/kartor_geotiff/A 44356-2024 georefererad karta.tif", "A 44356-2024")</f>
        <v/>
      </c>
      <c r="AA76">
        <f>HYPERLINK("https://klasma.github.io/Logging_1907/klagomål/A 44356-2024 FSC-klagomål.docx", "A 44356-2024")</f>
        <v/>
      </c>
      <c r="AB76">
        <f>HYPERLINK("https://klasma.github.io/Logging_1907/klagomålsmail/A 44356-2024 FSC-klagomål mail.docx", "A 44356-2024")</f>
        <v/>
      </c>
      <c r="AC76">
        <f>HYPERLINK("https://klasma.github.io/Logging_1907/tillsyn/A 44356-2024 tillsynsbegäran.docx", "A 44356-2024")</f>
        <v/>
      </c>
      <c r="AD76">
        <f>HYPERLINK("https://klasma.github.io/Logging_1907/tillsynsmail/A 44356-2024 tillsynsbegäran mail.docx", "A 44356-2024")</f>
        <v/>
      </c>
    </row>
    <row r="77" ht="15" customHeight="1">
      <c r="A77" t="inlineStr">
        <is>
          <t>A 33231-2024</t>
        </is>
      </c>
      <c r="B77" t="inlineStr">
        <is>
          <t>avverkningsanmälan</t>
        </is>
      </c>
      <c r="C77" t="inlineStr">
        <is>
          <t>Föryngringsavverkning</t>
        </is>
      </c>
      <c r="D77" s="1" t="n">
        <v>45518</v>
      </c>
      <c r="E77" s="1" t="n">
        <v>46258</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39099-2022</t>
        </is>
      </c>
      <c r="B78" t="inlineStr">
        <is>
          <t>avverkningsanmälan</t>
        </is>
      </c>
      <c r="C78" t="inlineStr">
        <is>
          <t>Föryngringsavverkning</t>
        </is>
      </c>
      <c r="D78" s="1" t="n">
        <v>44817</v>
      </c>
      <c r="E78" s="1" t="n">
        <v>46258</v>
      </c>
      <c r="F78" t="inlineStr">
        <is>
          <t>VÄSTMANLANDS LÄN</t>
        </is>
      </c>
      <c r="G78" t="inlineStr">
        <is>
          <t>SURAHAMMAR</t>
        </is>
      </c>
      <c r="H78" t="inlineStr">
        <is>
          <t>Bergvik skog väst AB</t>
        </is>
      </c>
      <c r="I78" t="n">
        <v>7.4</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HYPERLINK("https://klasma.github.io/Logging_1907/artfynd/A 39099-2022 artfynd.xlsx", "A 39099-2022")</f>
        <v/>
      </c>
      <c r="X78">
        <f>HYPERLINK("https://klasma.github.io/Logging_1907/kartor/A 39099-2022 karta.png", "A 39099-2022")</f>
        <v/>
      </c>
      <c r="Y78">
        <f>HYPERLINK("https://klasma.github.io/Logging_1907/kartor_geotiff/A 39099-2022 georefererad karta.tif", "A 39099-2022")</f>
        <v/>
      </c>
      <c r="AA78">
        <f>HYPERLINK("https://klasma.github.io/Logging_1907/klagomål/A 39099-2022 FSC-klagomål.docx", "A 39099-2022")</f>
        <v/>
      </c>
      <c r="AB78">
        <f>HYPERLINK("https://klasma.github.io/Logging_1907/klagomålsmail/A 39099-2022 FSC-klagomål mail.docx", "A 39099-2022")</f>
        <v/>
      </c>
      <c r="AC78">
        <f>HYPERLINK("https://klasma.github.io/Logging_1907/tillsyn/A 39099-2022 tillsynsbegäran.docx", "A 39099-2022")</f>
        <v/>
      </c>
      <c r="AD78">
        <f>HYPERLINK("https://klasma.github.io/Logging_1907/tillsynsmail/A 39099-2022 tillsynsbegäran mail.docx", "A 39099-2022")</f>
        <v/>
      </c>
    </row>
    <row r="79" ht="15" customHeight="1">
      <c r="A79" t="inlineStr">
        <is>
          <t>A 24167-2024</t>
        </is>
      </c>
      <c r="B79" t="inlineStr">
        <is>
          <t>avverkningsanmälan</t>
        </is>
      </c>
      <c r="C79" t="inlineStr">
        <is>
          <t>Avverkning för annat ändamål</t>
        </is>
      </c>
      <c r="D79" s="1" t="n">
        <v>45456</v>
      </c>
      <c r="E79" s="1" t="n">
        <v>46258</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31589-2026</t>
        </is>
      </c>
      <c r="B80" t="inlineStr">
        <is>
          <t>avverkningsanmälan</t>
        </is>
      </c>
      <c r="C80" t="inlineStr">
        <is>
          <t>Föryngringsavverkning</t>
        </is>
      </c>
      <c r="D80" s="1" t="n">
        <v>46224</v>
      </c>
      <c r="E80" s="1" t="n">
        <v>46258</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16013-2023</t>
        </is>
      </c>
      <c r="B81" t="inlineStr">
        <is>
          <t>avverkningsanmälan</t>
        </is>
      </c>
      <c r="C81" t="inlineStr">
        <is>
          <t>Föryngringsavverkning</t>
        </is>
      </c>
      <c r="D81" s="1" t="n">
        <v>45026</v>
      </c>
      <c r="E81" s="1" t="n">
        <v>46258</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46258</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46258</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46258</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46258</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46258</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46258</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46258</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46258</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46258</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35682-2022</t>
        </is>
      </c>
      <c r="B91" t="inlineStr">
        <is>
          <t>avverkningsanmälan</t>
        </is>
      </c>
      <c r="C91" t="inlineStr">
        <is>
          <t>Föryngringsavverkning</t>
        </is>
      </c>
      <c r="D91" s="1" t="n">
        <v>44799</v>
      </c>
      <c r="E91" s="1" t="n">
        <v>46258</v>
      </c>
      <c r="F91" t="inlineStr">
        <is>
          <t>VÄSTMANLANDS LÄN</t>
        </is>
      </c>
      <c r="G91" t="inlineStr">
        <is>
          <t>SURAHAMMAR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34957-2022</t>
        </is>
      </c>
      <c r="B92" t="inlineStr">
        <is>
          <t>avverkningsanmälan</t>
        </is>
      </c>
      <c r="C92" t="inlineStr">
        <is>
          <t>Föryngringsavverkning</t>
        </is>
      </c>
      <c r="D92" s="1" t="n">
        <v>44796</v>
      </c>
      <c r="E92" s="1" t="n">
        <v>46258</v>
      </c>
      <c r="F92" t="inlineStr">
        <is>
          <t>VÄSTMANLANDS LÄN</t>
        </is>
      </c>
      <c r="G92" t="inlineStr">
        <is>
          <t>SURAHAMMAR</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11728-2023</t>
        </is>
      </c>
      <c r="B93" t="inlineStr">
        <is>
          <t>avverkningsanmälan</t>
        </is>
      </c>
      <c r="C93" t="inlineStr">
        <is>
          <t>Avverkning för att bevara och utveckla /försöksver</t>
        </is>
      </c>
      <c r="D93" s="1" t="n">
        <v>44993</v>
      </c>
      <c r="E93" s="1" t="n">
        <v>46258</v>
      </c>
      <c r="F93" t="inlineStr">
        <is>
          <t>VÄSTMANLANDS LÄN</t>
        </is>
      </c>
      <c r="G93" t="inlineStr">
        <is>
          <t>SURAHAMMAR</t>
        </is>
      </c>
      <c r="H93" t="inlineStr">
        <is>
          <t>Bergvik skog väst AB</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5567-2022</t>
        </is>
      </c>
      <c r="B94" t="inlineStr">
        <is>
          <t>avverkningsanmälan</t>
        </is>
      </c>
      <c r="C94" t="inlineStr">
        <is>
          <t>Föryngringsavverkning</t>
        </is>
      </c>
      <c r="D94" s="1" t="n">
        <v>44595</v>
      </c>
      <c r="E94" s="1" t="n">
        <v>46258</v>
      </c>
      <c r="F94" t="inlineStr">
        <is>
          <t>VÄSTMANLANDS LÄN</t>
        </is>
      </c>
      <c r="G94" t="inlineStr">
        <is>
          <t>SURAHAMMAR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42832-2022</t>
        </is>
      </c>
      <c r="B95" t="inlineStr">
        <is>
          <t>avverkningsanmälan</t>
        </is>
      </c>
      <c r="C95" t="inlineStr">
        <is>
          <t>Avverkning för annat ändamål</t>
        </is>
      </c>
      <c r="D95" s="1" t="n">
        <v>44832</v>
      </c>
      <c r="E95" s="1" t="n">
        <v>46258</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24665-2023</t>
        </is>
      </c>
      <c r="B96" t="inlineStr">
        <is>
          <t>avverkningsanmälan</t>
        </is>
      </c>
      <c r="C96" t="inlineStr">
        <is>
          <t>Föryngringsavverkning</t>
        </is>
      </c>
      <c r="D96" s="1" t="n">
        <v>45084</v>
      </c>
      <c r="E96" s="1" t="n">
        <v>46258</v>
      </c>
      <c r="F96" t="inlineStr">
        <is>
          <t>VÄSTMANLANDS LÄN</t>
        </is>
      </c>
      <c r="G96" t="inlineStr">
        <is>
          <t>SURAHAMMAR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46258</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42829-2022</t>
        </is>
      </c>
      <c r="B98" t="inlineStr">
        <is>
          <t>avverkningsanmälan</t>
        </is>
      </c>
      <c r="C98" t="inlineStr">
        <is>
          <t>Avverkning för annat ändamål</t>
        </is>
      </c>
      <c r="D98" s="1" t="n">
        <v>44832</v>
      </c>
      <c r="E98" s="1" t="n">
        <v>46258</v>
      </c>
      <c r="F98" t="inlineStr">
        <is>
          <t>VÄSTMANLANDS LÄN</t>
        </is>
      </c>
      <c r="G98" t="inlineStr">
        <is>
          <t>SURAHAMMAR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48205-2023</t>
        </is>
      </c>
      <c r="B99" t="inlineStr">
        <is>
          <t>avverkningsanmälan</t>
        </is>
      </c>
      <c r="C99" t="inlineStr">
        <is>
          <t>Föryngringsavverkning</t>
        </is>
      </c>
      <c r="D99" s="1" t="n">
        <v>45205</v>
      </c>
      <c r="E99" s="1" t="n">
        <v>46258</v>
      </c>
      <c r="F99" t="inlineStr">
        <is>
          <t>VÄSTMANLANDS LÄN</t>
        </is>
      </c>
      <c r="G99" t="inlineStr">
        <is>
          <t>SURAHAMMAR</t>
        </is>
      </c>
      <c r="H99" t="inlineStr">
        <is>
          <t>Allmännings- och besparingsskogar</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15743-2023</t>
        </is>
      </c>
      <c r="B100" t="inlineStr">
        <is>
          <t>avverkningsanmälan</t>
        </is>
      </c>
      <c r="C100" t="inlineStr">
        <is>
          <t>Föryngringsavverkning</t>
        </is>
      </c>
      <c r="D100" s="1" t="n">
        <v>45021</v>
      </c>
      <c r="E100" s="1" t="n">
        <v>46258</v>
      </c>
      <c r="F100" t="inlineStr">
        <is>
          <t>VÄSTMANLANDS LÄN</t>
        </is>
      </c>
      <c r="G100" t="inlineStr">
        <is>
          <t>SURAHAMMAR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15637-2022</t>
        </is>
      </c>
      <c r="B101" t="inlineStr">
        <is>
          <t>avverkningsanmälan</t>
        </is>
      </c>
      <c r="C101" t="inlineStr">
        <is>
          <t>Föryngringsavverkning</t>
        </is>
      </c>
      <c r="D101" s="1" t="n">
        <v>44662</v>
      </c>
      <c r="E101" s="1" t="n">
        <v>46258</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2867-2024</t>
        </is>
      </c>
      <c r="B102" t="inlineStr">
        <is>
          <t>avverkningsanmälan</t>
        </is>
      </c>
      <c r="C102" t="inlineStr">
        <is>
          <t>Föryngringsavverkning</t>
        </is>
      </c>
      <c r="D102" s="1" t="n">
        <v>45315</v>
      </c>
      <c r="E102" s="1" t="n">
        <v>46258</v>
      </c>
      <c r="F102" t="inlineStr">
        <is>
          <t>VÄSTMANLANDS LÄN</t>
        </is>
      </c>
      <c r="G102" t="inlineStr">
        <is>
          <t>SURAHAMMAR</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19786-2023</t>
        </is>
      </c>
      <c r="B103" t="inlineStr">
        <is>
          <t>avverkningsanmälan</t>
        </is>
      </c>
      <c r="C103" t="inlineStr">
        <is>
          <t>Föryngringsavverkning</t>
        </is>
      </c>
      <c r="D103" s="1" t="n">
        <v>45050</v>
      </c>
      <c r="E103" s="1" t="n">
        <v>46258</v>
      </c>
      <c r="F103" t="inlineStr">
        <is>
          <t>VÄSTMANLANDS LÄN</t>
        </is>
      </c>
      <c r="G103" t="inlineStr">
        <is>
          <t>SURAHAMMAR</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3085-2023</t>
        </is>
      </c>
      <c r="B104" t="inlineStr">
        <is>
          <t>avverkningsanmälan</t>
        </is>
      </c>
      <c r="C104" t="inlineStr">
        <is>
          <t>Föryngringsavverkning</t>
        </is>
      </c>
      <c r="D104" s="1" t="n">
        <v>44946</v>
      </c>
      <c r="E104" s="1" t="n">
        <v>46258</v>
      </c>
      <c r="F104" t="inlineStr">
        <is>
          <t>VÄSTMANLANDS LÄN</t>
        </is>
      </c>
      <c r="G104" t="inlineStr">
        <is>
          <t>SURAHAMMAR</t>
        </is>
      </c>
      <c r="H104" t="inlineStr">
        <is>
          <t>Kyrkan</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7787-2024</t>
        </is>
      </c>
      <c r="B105" t="inlineStr">
        <is>
          <t>avverkningsanmälan</t>
        </is>
      </c>
      <c r="C105" t="inlineStr">
        <is>
          <t>Föryngringsavverkning</t>
        </is>
      </c>
      <c r="D105" s="1" t="n">
        <v>45348</v>
      </c>
      <c r="E105" s="1" t="n">
        <v>46258</v>
      </c>
      <c r="F105" t="inlineStr">
        <is>
          <t>VÄSTMANLANDS LÄN</t>
        </is>
      </c>
      <c r="G105" t="inlineStr">
        <is>
          <t>SURAHAMMAR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20904-2023</t>
        </is>
      </c>
      <c r="B106" t="inlineStr">
        <is>
          <t>avverkningsanmälan</t>
        </is>
      </c>
      <c r="C106" t="inlineStr">
        <is>
          <t>Avverkning för att bevara och utveckla /försöksver</t>
        </is>
      </c>
      <c r="D106" s="1" t="n">
        <v>45060</v>
      </c>
      <c r="E106" s="1" t="n">
        <v>46258</v>
      </c>
      <c r="F106" t="inlineStr">
        <is>
          <t>VÄSTMANLANDS LÄN</t>
        </is>
      </c>
      <c r="G106" t="inlineStr">
        <is>
          <t>SURAHAMMAR</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2660-2024</t>
        </is>
      </c>
      <c r="B107" t="inlineStr">
        <is>
          <t>avverkningsanmälan</t>
        </is>
      </c>
      <c r="C107" t="inlineStr">
        <is>
          <t>Föryngringsavverkning</t>
        </is>
      </c>
      <c r="D107" s="1" t="n">
        <v>45310</v>
      </c>
      <c r="E107" s="1" t="n">
        <v>46258</v>
      </c>
      <c r="F107" t="inlineStr">
        <is>
          <t>VÄSTMANLANDS LÄN</t>
        </is>
      </c>
      <c r="G107" t="inlineStr">
        <is>
          <t>SURAHAMMAR</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46258</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72367-2021</t>
        </is>
      </c>
      <c r="B109" t="inlineStr">
        <is>
          <t>avverkningsanmälan</t>
        </is>
      </c>
      <c r="C109" t="inlineStr">
        <is>
          <t>Föryngringsavverkning</t>
        </is>
      </c>
      <c r="D109" s="1" t="n">
        <v>44545</v>
      </c>
      <c r="E109" s="1" t="n">
        <v>46258</v>
      </c>
      <c r="F109" t="inlineStr">
        <is>
          <t>VÄSTMANLANDS LÄN</t>
        </is>
      </c>
      <c r="G109" t="inlineStr">
        <is>
          <t>SURAHAMMAR</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14626-2023</t>
        </is>
      </c>
      <c r="B110" t="inlineStr">
        <is>
          <t>avverkningsanmälan</t>
        </is>
      </c>
      <c r="C110" t="inlineStr">
        <is>
          <t>Föryngringsavverkning</t>
        </is>
      </c>
      <c r="D110" s="1" t="n">
        <v>45012</v>
      </c>
      <c r="E110" s="1" t="n">
        <v>46258</v>
      </c>
      <c r="F110" t="inlineStr">
        <is>
          <t>VÄSTMANLANDS LÄN</t>
        </is>
      </c>
      <c r="G110" t="inlineStr">
        <is>
          <t>SURAHAMMAR</t>
        </is>
      </c>
      <c r="H110" t="inlineStr">
        <is>
          <t>Bergvik skog väst AB</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33931-2022</t>
        </is>
      </c>
      <c r="B111" t="inlineStr">
        <is>
          <t>avverkningsanmälan</t>
        </is>
      </c>
      <c r="C111" t="inlineStr">
        <is>
          <t>Föryngringsavverkning</t>
        </is>
      </c>
      <c r="D111" s="1" t="n">
        <v>44790</v>
      </c>
      <c r="E111" s="1" t="n">
        <v>46258</v>
      </c>
      <c r="F111" t="inlineStr">
        <is>
          <t>VÄSTMANLANDS LÄN</t>
        </is>
      </c>
      <c r="G111" t="inlineStr">
        <is>
          <t>SURAHAMMAR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24158-2023</t>
        </is>
      </c>
      <c r="B112" t="inlineStr">
        <is>
          <t>avverkningsanmälan</t>
        </is>
      </c>
      <c r="C112" t="inlineStr">
        <is>
          <t>Föryngringsavverkning</t>
        </is>
      </c>
      <c r="D112" s="1" t="n">
        <v>45079</v>
      </c>
      <c r="E112" s="1" t="n">
        <v>46258</v>
      </c>
      <c r="F112" t="inlineStr">
        <is>
          <t>VÄSTMANLANDS LÄN</t>
        </is>
      </c>
      <c r="G112" t="inlineStr">
        <is>
          <t>SURAHAMMAR</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46258</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42714-2022</t>
        </is>
      </c>
      <c r="B114" t="inlineStr">
        <is>
          <t>avverkningsanmälan</t>
        </is>
      </c>
      <c r="C114" t="inlineStr">
        <is>
          <t>Föryngringsavverkning</t>
        </is>
      </c>
      <c r="D114" s="1" t="n">
        <v>44832</v>
      </c>
      <c r="E114" s="1" t="n">
        <v>46258</v>
      </c>
      <c r="F114" t="inlineStr">
        <is>
          <t>VÄSTMANLANDS LÄN</t>
        </is>
      </c>
      <c r="G114" t="inlineStr">
        <is>
          <t>SURAHAMMAR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46258</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46258</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24201-2026</t>
        </is>
      </c>
      <c r="B117" t="inlineStr">
        <is>
          <t>avverkningsanmälan</t>
        </is>
      </c>
      <c r="C117" t="inlineStr">
        <is>
          <t>Föryngringsavverkning</t>
        </is>
      </c>
      <c r="D117" s="1" t="n">
        <v>46168</v>
      </c>
      <c r="E117" s="1" t="n">
        <v>46258</v>
      </c>
      <c r="F117" t="inlineStr">
        <is>
          <t>VÄSTMANLANDS LÄN</t>
        </is>
      </c>
      <c r="G117" t="inlineStr">
        <is>
          <t>SURAHAMMAR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19782-2023</t>
        </is>
      </c>
      <c r="B118" t="inlineStr">
        <is>
          <t>avverkningsanmälan</t>
        </is>
      </c>
      <c r="C118" t="inlineStr">
        <is>
          <t>Föryngringsavverkning</t>
        </is>
      </c>
      <c r="D118" s="1" t="n">
        <v>45050</v>
      </c>
      <c r="E118" s="1" t="n">
        <v>46258</v>
      </c>
      <c r="F118" t="inlineStr">
        <is>
          <t>VÄSTMANLANDS LÄN</t>
        </is>
      </c>
      <c r="G118" t="inlineStr">
        <is>
          <t>SURAHAMMAR</t>
        </is>
      </c>
      <c r="H118" t="inlineStr">
        <is>
          <t>Bergvik skog väst AB</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37954-2025</t>
        </is>
      </c>
      <c r="B119" t="inlineStr">
        <is>
          <t>avverkningsanmälan</t>
        </is>
      </c>
      <c r="C119" t="inlineStr">
        <is>
          <t>Föryngringsavverkning</t>
        </is>
      </c>
      <c r="D119" s="1" t="n">
        <v>45881</v>
      </c>
      <c r="E119" s="1" t="n">
        <v>46258</v>
      </c>
      <c r="F119" t="inlineStr">
        <is>
          <t>VÄSTMANLANDS LÄN</t>
        </is>
      </c>
      <c r="G119" t="inlineStr">
        <is>
          <t>SURAHAMMAR</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31061-2026</t>
        </is>
      </c>
      <c r="B120" t="inlineStr">
        <is>
          <t>avverkningsanmälan</t>
        </is>
      </c>
      <c r="C120" t="inlineStr">
        <is>
          <t>Föryngringsavverkning</t>
        </is>
      </c>
      <c r="D120" s="1" t="n">
        <v>46215</v>
      </c>
      <c r="E120" s="1" t="n">
        <v>46258</v>
      </c>
      <c r="F120" t="inlineStr">
        <is>
          <t>VÄSTMANLANDS LÄN</t>
        </is>
      </c>
      <c r="G120" t="inlineStr">
        <is>
          <t>SURAHAMMAR</t>
        </is>
      </c>
      <c r="H120" t="inlineStr">
        <is>
          <t>Sveaskog</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7848-2022</t>
        </is>
      </c>
      <c r="B121" t="inlineStr">
        <is>
          <t>avverkningsanmälan</t>
        </is>
      </c>
      <c r="C121" t="inlineStr">
        <is>
          <t>Föryngringsavverkning</t>
        </is>
      </c>
      <c r="D121" s="1" t="n">
        <v>44608</v>
      </c>
      <c r="E121" s="1" t="n">
        <v>46258</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56378-2023</t>
        </is>
      </c>
      <c r="B122" t="inlineStr">
        <is>
          <t>avverkningsanmälan</t>
        </is>
      </c>
      <c r="C122" t="inlineStr">
        <is>
          <t>Föryngringsavverkning</t>
        </is>
      </c>
      <c r="D122" s="1" t="n">
        <v>45236</v>
      </c>
      <c r="E122" s="1" t="n">
        <v>46258</v>
      </c>
      <c r="F122" t="inlineStr">
        <is>
          <t>VÄSTMANLANDS LÄN</t>
        </is>
      </c>
      <c r="G122" t="inlineStr">
        <is>
          <t>SURAHAMMAR</t>
        </is>
      </c>
      <c r="H122" t="inlineStr">
        <is>
          <t>Bergvik skog väst AB</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10249-2026</t>
        </is>
      </c>
      <c r="B123" t="inlineStr">
        <is>
          <t>avverkningsanmälan</t>
        </is>
      </c>
      <c r="C123" t="inlineStr">
        <is>
          <t>Föryngringsavverkning</t>
        </is>
      </c>
      <c r="D123" s="1" t="n">
        <v>46076</v>
      </c>
      <c r="E123" s="1" t="n">
        <v>46258</v>
      </c>
      <c r="F123" t="inlineStr">
        <is>
          <t>VÄSTMANLANDS LÄN</t>
        </is>
      </c>
      <c r="G123" t="inlineStr">
        <is>
          <t>SURAHAMMAR</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46258</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46258</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46258</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46258</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12841-2026</t>
        </is>
      </c>
      <c r="B128" t="inlineStr">
        <is>
          <t>avverkningsanmälan</t>
        </is>
      </c>
      <c r="C128" t="inlineStr">
        <is>
          <t>Föryngringsavverkning</t>
        </is>
      </c>
      <c r="D128" s="1" t="n">
        <v>46091</v>
      </c>
      <c r="E128" s="1" t="n">
        <v>46258</v>
      </c>
      <c r="F128" t="inlineStr">
        <is>
          <t>VÄSTMANLANDS LÄN</t>
        </is>
      </c>
      <c r="G128" t="inlineStr">
        <is>
          <t>SURAHAMMAR</t>
        </is>
      </c>
      <c r="H128" t="inlineStr">
        <is>
          <t>Bergvik skog väst AB</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3818-2022</t>
        </is>
      </c>
      <c r="B129" t="inlineStr">
        <is>
          <t>avverkningsanmälan</t>
        </is>
      </c>
      <c r="C129" t="inlineStr">
        <is>
          <t>Föryngringsavverkning</t>
        </is>
      </c>
      <c r="D129" s="1" t="n">
        <v>44587</v>
      </c>
      <c r="E129" s="1" t="n">
        <v>46258</v>
      </c>
      <c r="F129" t="inlineStr">
        <is>
          <t>VÄSTMANLANDS LÄN</t>
        </is>
      </c>
      <c r="G129" t="inlineStr">
        <is>
          <t>SURAHAMMAR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32223-2026</t>
        </is>
      </c>
      <c r="B130" t="inlineStr">
        <is>
          <t>avverkningsanmälan</t>
        </is>
      </c>
      <c r="C130" t="inlineStr">
        <is>
          <t>Föryngringsavverkning</t>
        </is>
      </c>
      <c r="D130" s="1" t="n">
        <v>46237</v>
      </c>
      <c r="E130" s="1" t="n">
        <v>46258</v>
      </c>
      <c r="F130" t="inlineStr">
        <is>
          <t>VÄSTMANLANDS LÄN</t>
        </is>
      </c>
      <c r="G130" t="inlineStr">
        <is>
          <t>SURAHAMMAR</t>
        </is>
      </c>
      <c r="H130" t="inlineStr">
        <is>
          <t>Allmännings- och besparingsskogar</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46258</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46258</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46258</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46258</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21509-2024</t>
        </is>
      </c>
      <c r="B135" t="inlineStr">
        <is>
          <t>avverkningsanmälan</t>
        </is>
      </c>
      <c r="C135" t="inlineStr">
        <is>
          <t>Föryngringsavverkning</t>
        </is>
      </c>
      <c r="D135" s="1" t="n">
        <v>45441</v>
      </c>
      <c r="E135" s="1" t="n">
        <v>46258</v>
      </c>
      <c r="F135" t="inlineStr">
        <is>
          <t>VÄSTMANLANDS LÄN</t>
        </is>
      </c>
      <c r="G135" t="inlineStr">
        <is>
          <t>SURAHAMMAR</t>
        </is>
      </c>
      <c r="H135" t="inlineStr">
        <is>
          <t>Bergvik skog väst AB</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46258</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46258</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49058-2024</t>
        </is>
      </c>
      <c r="B138" t="inlineStr">
        <is>
          <t>avverkningsanmälan</t>
        </is>
      </c>
      <c r="C138" t="inlineStr">
        <is>
          <t>Föryngringsavverkning</t>
        </is>
      </c>
      <c r="D138" s="1" t="n">
        <v>45594</v>
      </c>
      <c r="E138" s="1" t="n">
        <v>46258</v>
      </c>
      <c r="F138" t="inlineStr">
        <is>
          <t>VÄSTMANLANDS LÄN</t>
        </is>
      </c>
      <c r="G138" t="inlineStr">
        <is>
          <t>SURAHAMMAR</t>
        </is>
      </c>
      <c r="H138" t="inlineStr">
        <is>
          <t>Sveaskog</t>
        </is>
      </c>
      <c r="I138" t="n">
        <v>11.4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20535-2026</t>
        </is>
      </c>
      <c r="B139" t="inlineStr">
        <is>
          <t>avverkningsanmälan</t>
        </is>
      </c>
      <c r="C139" t="inlineStr">
        <is>
          <t>Avverkning för annat ändamål</t>
        </is>
      </c>
      <c r="D139" s="1" t="n">
        <v>46140</v>
      </c>
      <c r="E139" s="1" t="n">
        <v>46258</v>
      </c>
      <c r="F139" t="inlineStr">
        <is>
          <t>VÄSTMANLANDS LÄN</t>
        </is>
      </c>
      <c r="G139" t="inlineStr">
        <is>
          <t>SURAHAMMAR</t>
        </is>
      </c>
      <c r="H139" t="inlineStr">
        <is>
          <t>Bergvik skog väst AB</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46258</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46258</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46258</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46258</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46258</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2026-08-24T01:48:11Z</dcterms:created>
  <dcterms:modified xmlns:dcterms="http://purl.org/dc/terms/" xmlns:xsi="http://www.w3.org/2001/XMLSchema-instance" xsi:type="dcterms:W3CDTF">2026-08-24T01:48:11Z</dcterms:modified>
</cp:coreProperties>
</file>